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V:\TAYNAAAAAAAAAAAA\COBRANÇA ATUALIZADA TAYNA\PARAOPEBA\"/>
    </mc:Choice>
  </mc:AlternateContent>
  <xr:revisionPtr revIDLastSave="0" documentId="13_ncr:1_{DBCC8264-22DA-479B-AC1C-1E5687E8A7A3}" xr6:coauthVersionLast="47" xr6:coauthVersionMax="47" xr10:uidLastSave="{00000000-0000-0000-0000-000000000000}"/>
  <bookViews>
    <workbookView xWindow="-120" yWindow="-120" windowWidth="29040" windowHeight="15720" firstSheet="3" activeTab="11" xr2:uid="{00000000-000D-0000-FFFF-FFFF00000000}"/>
  </bookViews>
  <sheets>
    <sheet name="OUTUBRO 25" sheetId="42" r:id="rId1"/>
    <sheet name="NOVEMBRO 25 (2)" sheetId="44" r:id="rId2"/>
    <sheet name="DEZEMBRO 25 (2)" sheetId="45" r:id="rId3"/>
    <sheet name="JANEIRO 26" sheetId="46" r:id="rId4"/>
    <sheet name="FEVEREIRO 26 (2)" sheetId="47" r:id="rId5"/>
    <sheet name="MARÇO 26 (2)" sheetId="48" r:id="rId6"/>
    <sheet name="ABRIL 26 (2)" sheetId="49" r:id="rId7"/>
    <sheet name="MAIO 26 (3)" sheetId="52" r:id="rId8"/>
    <sheet name="JUNHO 26" sheetId="51" r:id="rId9"/>
    <sheet name="JULHO 26 (2)" sheetId="53" r:id="rId10"/>
    <sheet name="AGOSTO 26 (2)" sheetId="54" r:id="rId11"/>
    <sheet name="SETEMBRO 26" sheetId="43" r:id="rId12"/>
  </sheets>
  <definedNames>
    <definedName name="_xlnm._FilterDatabase" localSheetId="10" hidden="1">'AGOSTO 26 (2)'!$A$1:$X$15</definedName>
    <definedName name="_xlnm._FilterDatabase" localSheetId="9" hidden="1">'JULHO 26 (2)'!$A$1:$X$15</definedName>
    <definedName name="_xlnm._FilterDatabase" localSheetId="8" hidden="1">'JUNHO 26'!$A$1:$X$1</definedName>
    <definedName name="_xlnm._FilterDatabase" localSheetId="7" hidden="1">'MAIO 26 (3)'!$A$1:$X$1</definedName>
    <definedName name="_xlnm._FilterDatabase" localSheetId="11" hidden="1">'SETEMBRO 26'!$A$1:$X$16</definedName>
  </definedNames>
  <calcPr calcId="181029"/>
</workbook>
</file>

<file path=xl/calcChain.xml><?xml version="1.0" encoding="utf-8"?>
<calcChain xmlns="http://schemas.openxmlformats.org/spreadsheetml/2006/main">
  <c r="H16" i="43" l="1"/>
  <c r="H15" i="54" l="1"/>
  <c r="H15" i="53"/>
  <c r="H13" i="51"/>
  <c r="H8" i="52"/>
  <c r="H7" i="49" l="1"/>
  <c r="H10" i="48" l="1"/>
  <c r="H7" i="48"/>
  <c r="H6" i="47"/>
  <c r="H6" i="46"/>
  <c r="H7" i="45"/>
  <c r="H7" i="44"/>
  <c r="H5" i="42"/>
  <c r="I5" i="42"/>
  <c r="XFD5" i="42" l="1"/>
</calcChain>
</file>

<file path=xl/sharedStrings.xml><?xml version="1.0" encoding="utf-8"?>
<sst xmlns="http://schemas.openxmlformats.org/spreadsheetml/2006/main" count="640" uniqueCount="105">
  <si>
    <t>EMPRESA</t>
  </si>
  <si>
    <t>OBSERVAÇÃO</t>
  </si>
  <si>
    <t>N° NF</t>
  </si>
  <si>
    <t>PERÍODO</t>
  </si>
  <si>
    <t>QTD DE PÇ</t>
  </si>
  <si>
    <t>ENDEREÇO DA OBRA</t>
  </si>
  <si>
    <t>R$ UNITÁRIO</t>
  </si>
  <si>
    <t>R$                      TOTAL</t>
  </si>
  <si>
    <t>LIMPEZA</t>
  </si>
  <si>
    <t>DATA DA ENTREGA</t>
  </si>
  <si>
    <t>DADOS CADASTRAIS</t>
  </si>
  <si>
    <t>CONTATO ENCARREGADO DA OBRA</t>
  </si>
  <si>
    <t>CONSTRUTORA DRAGAGEM PARAOPEBA LTDA</t>
  </si>
  <si>
    <t xml:space="preserve">                                  </t>
  </si>
  <si>
    <t>5 LIMPEZAS POR SEMANA</t>
  </si>
  <si>
    <t>19/08/2025 Á 18/09/2025</t>
  </si>
  <si>
    <t xml:space="preserve">ATERRO SANITÁRIO DE CONTAGEM  </t>
  </si>
  <si>
    <t>CONSTRUTORA DRAGAGEM PARAOPEBA LTDA, 18.322.925/0001-14,RODOVIA BR 040, KM 523.5, LOTE: A, B: GUANABARA, CONTAGEM-MG, CEP: 32.150.340. SOLICITADO POR ADRIANO                                                                                  STEPHANNE: 97180-4294 / 3394-6347.     administrativo@grupoparaopeba.com.br</t>
  </si>
  <si>
    <t>21/08/2025 Á 20/09/2025</t>
  </si>
  <si>
    <t>24/08/2025 Á 23/09/2025</t>
  </si>
  <si>
    <t>03/09/2025 Á 02/10/2025</t>
  </si>
  <si>
    <t>24/09/2025 Á 23/10/2025</t>
  </si>
  <si>
    <t>21/09/2025 Á 20/10/2025</t>
  </si>
  <si>
    <t>19/09/2025 Á 18/10/2025</t>
  </si>
  <si>
    <t>11/09/2025 Á 10/10/2025</t>
  </si>
  <si>
    <t>11/10/2025 Á 10/11/2025</t>
  </si>
  <si>
    <t>03/10/2025 Á 02/11/2025</t>
  </si>
  <si>
    <t>24/10/2025 Á 23/11/2025</t>
  </si>
  <si>
    <t>21/10/2025 Á 20/11/2025</t>
  </si>
  <si>
    <t>19/10/2025 Á 18/11/2025</t>
  </si>
  <si>
    <t xml:space="preserve">RECOLHIDO 31/10/25                                  </t>
  </si>
  <si>
    <t>03/11/2025 Á 02/12/2025</t>
  </si>
  <si>
    <t>24/11/2025 Á 23/12/2025</t>
  </si>
  <si>
    <t>21/11/2025 Á 20/12/2025</t>
  </si>
  <si>
    <t>19/11/2025 Á 18/12/2025</t>
  </si>
  <si>
    <t>03/12/2025 Á 02/01/2026</t>
  </si>
  <si>
    <t>24/12/2025 Á 23/01/2026</t>
  </si>
  <si>
    <t>21/12/2025 Á 20/01/2026</t>
  </si>
  <si>
    <t>19/12/2025 Á 18/01/2026</t>
  </si>
  <si>
    <t>24/01/2026 Á 23/02/2026</t>
  </si>
  <si>
    <t>03/01/2026 Á 02/02/2026</t>
  </si>
  <si>
    <t>21/01/2026 Á 20/02/2026</t>
  </si>
  <si>
    <t>19/01/2026 Á 18/02/2026</t>
  </si>
  <si>
    <t xml:space="preserve">  27/02/2026 á 26/03/2026</t>
  </si>
  <si>
    <t xml:space="preserve">SOLICITADO POR LUIS </t>
  </si>
  <si>
    <t>DESCONTO LIMPEZA</t>
  </si>
  <si>
    <t xml:space="preserve">  27/03/2026 á 26/04/2026</t>
  </si>
  <si>
    <t>03/02/2026 Á 02/03/2026</t>
  </si>
  <si>
    <t>24/02/2026 Á 23/03/2026</t>
  </si>
  <si>
    <t>21/02/2026 Á 20/03/2026</t>
  </si>
  <si>
    <t>19/02/2026 Á 18/03/2026</t>
  </si>
  <si>
    <t xml:space="preserve">  27/04/2026 á 26/05/2026</t>
  </si>
  <si>
    <t>03/03/2026 Á 02/04/2026</t>
  </si>
  <si>
    <t>24/03/2026 Á 23/04/2026</t>
  </si>
  <si>
    <t>21/03/2026 Á 20/04/2026</t>
  </si>
  <si>
    <t>19/03/2026 Á 18/04/2026</t>
  </si>
  <si>
    <t xml:space="preserve">  24/04/2026 á 23/05/2026</t>
  </si>
  <si>
    <t>EMPRES</t>
  </si>
  <si>
    <t xml:space="preserve">  24/05/2026 á 23/06/2026</t>
  </si>
  <si>
    <t xml:space="preserve">  27/05/2026 á 26/06/2026</t>
  </si>
  <si>
    <t>03/04/2026 Á 02/05/2026</t>
  </si>
  <si>
    <t>24/04/2026 Á 23/05/2026</t>
  </si>
  <si>
    <t>21/04/2026 Á 20/05/2026</t>
  </si>
  <si>
    <t>19/04/2026 Á 18/05/2026</t>
  </si>
  <si>
    <t xml:space="preserve"> 01/07/2026 á 30/07/2026</t>
  </si>
  <si>
    <t xml:space="preserve"> 30/06/2026 á 29/07/2026</t>
  </si>
  <si>
    <t>CONSTRUTORA DRAGAGEM PARAOPEBA LTDA, 18.322.925/0001-14,RODOVIA BR 040, KM 523.5, LOTE: A, B: GUANABARA, CONTAGEM-MG, CEP: 32.150.340. SOLICITADO POR ADRIANO                                                                                  STEPHANNE: 97180-4294 / 3394-6347.     administrativo@grupoparaopeba.com.br   Ketlyn.vitoria@grupoparaopeba.com.br</t>
  </si>
  <si>
    <t>19/05/2026 Á 18/06/2026</t>
  </si>
  <si>
    <t>21/05/2026 Á 20/06/2026</t>
  </si>
  <si>
    <t>24/05/2026 Á 23/06/2026</t>
  </si>
  <si>
    <t>03/05/2026 Á 02/06/2026</t>
  </si>
  <si>
    <t xml:space="preserve">  27/06/2026 á 26/07/2026</t>
  </si>
  <si>
    <t xml:space="preserve">  24/06/2026 á 23/07/2026</t>
  </si>
  <si>
    <t xml:space="preserve">  06/06/2026 á 05/07/2026</t>
  </si>
  <si>
    <t xml:space="preserve">  18/06/2026 á 17/07/2026</t>
  </si>
  <si>
    <t xml:space="preserve">  21/06/2026 á 20/07/2026</t>
  </si>
  <si>
    <t xml:space="preserve">  25/06/2026 á 24/07/2026</t>
  </si>
  <si>
    <t xml:space="preserve">  26/06/2026 á 25/07/2026</t>
  </si>
  <si>
    <t xml:space="preserve"> 30/07/2026 á 29/08/2026</t>
  </si>
  <si>
    <t xml:space="preserve"> 01/08/2026 á 30/08/2026</t>
  </si>
  <si>
    <t xml:space="preserve">  26/07/2026 á 25/08/2026</t>
  </si>
  <si>
    <t xml:space="preserve">  25/07/2026 á 24/08/2026</t>
  </si>
  <si>
    <t xml:space="preserve">  21/07/2026 á 20/08/2026</t>
  </si>
  <si>
    <t xml:space="preserve">  18/07/2026 á 17/08/2026</t>
  </si>
  <si>
    <t xml:space="preserve">  06/07/2026 á 05/08/2026</t>
  </si>
  <si>
    <t xml:space="preserve">  24/07/2026 á 23/08/2026</t>
  </si>
  <si>
    <t xml:space="preserve">  27/07/2026 á 26/08/2026</t>
  </si>
  <si>
    <t>03/06/2026 Á 02/07/2026</t>
  </si>
  <si>
    <t>24/06/2026 Á 23/07/2026</t>
  </si>
  <si>
    <t>21/06/2026 Á 20/07/2026</t>
  </si>
  <si>
    <t>19/06/2026 Á 18/07/2026</t>
  </si>
  <si>
    <t xml:space="preserve"> 30/08/2026 á 29/09/2026</t>
  </si>
  <si>
    <t xml:space="preserve"> 01/09/2026 á 30/09/2026</t>
  </si>
  <si>
    <t xml:space="preserve">  26/08/2026 á 25/09/2026</t>
  </si>
  <si>
    <t xml:space="preserve">  25/08/2026 á 24/09/2026</t>
  </si>
  <si>
    <t xml:space="preserve">  21/08/2026 á 20/09/2026</t>
  </si>
  <si>
    <t xml:space="preserve">  18/08/2026 á 17/09/2026</t>
  </si>
  <si>
    <t xml:space="preserve">  06/08/2026 á 05/09/2026</t>
  </si>
  <si>
    <t xml:space="preserve">  24/08/2026 á 23/09/2026</t>
  </si>
  <si>
    <t xml:space="preserve">  27/08/2026 á 26/09/2026</t>
  </si>
  <si>
    <t>03/07/2026 Á 02/08/2026</t>
  </si>
  <si>
    <t>24/07/2026 Á 23/08/2026</t>
  </si>
  <si>
    <t>21/07/2026 Á 20/08/2026</t>
  </si>
  <si>
    <t>19/07/2026 Á 18/08/2026</t>
  </si>
  <si>
    <t xml:space="preserve"> 10/07/2026 á 09/08/2026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</si>
</sst>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9">
    <font>
      <sz val="11"/>
      <color theme="1"/>
      <name val="Calibri"/>
      <charset val="134"/>
      <scheme val="minor"/>
    </font>
    <font>
      <sz val="9"/>
      <color theme="1"/>
      <name val="Arial Black"/>
      <family val="2"/>
    </font>
    <font>
      <b/>
      <sz val="9"/>
      <color theme="1"/>
      <name val="Arial Black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 Black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3" borderId="0" xfId="0" applyFill="1"/>
    <xf numFmtId="0" fontId="5" fillId="3" borderId="0" xfId="0" applyFont="1" applyFill="1" applyAlignment="1">
      <alignment horizontal="center" vertical="center"/>
    </xf>
    <xf numFmtId="3" fontId="5" fillId="3" borderId="0" xfId="0" applyNumberFormat="1" applyFont="1" applyFill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164" fontId="5" fillId="4" borderId="0" xfId="0" applyNumberFormat="1" applyFont="1" applyFill="1" applyAlignment="1">
      <alignment horizontal="center" vertical="center"/>
    </xf>
    <xf numFmtId="0" fontId="0" fillId="5" borderId="0" xfId="0" applyFill="1"/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wrapText="1"/>
    </xf>
    <xf numFmtId="0" fontId="0" fillId="6" borderId="0" xfId="0" applyFill="1"/>
    <xf numFmtId="164" fontId="0" fillId="0" borderId="0" xfId="0" applyNumberFormat="1"/>
    <xf numFmtId="3" fontId="3" fillId="5" borderId="1" xfId="0" applyNumberFormat="1" applyFont="1" applyFill="1" applyBorder="1" applyAlignment="1">
      <alignment horizontal="center" vertical="center" wrapText="1"/>
    </xf>
    <xf numFmtId="164" fontId="0" fillId="3" borderId="0" xfId="0" applyNumberFormat="1" applyFill="1"/>
    <xf numFmtId="0" fontId="7" fillId="7" borderId="1" xfId="0" applyFont="1" applyFill="1" applyBorder="1" applyAlignment="1">
      <alignment horizontal="center" vertical="center" wrapText="1"/>
    </xf>
    <xf numFmtId="164" fontId="3" fillId="4" borderId="0" xfId="0" applyNumberFormat="1" applyFont="1" applyFill="1"/>
    <xf numFmtId="2" fontId="0" fillId="3" borderId="0" xfId="0" applyNumberFormat="1" applyFill="1"/>
    <xf numFmtId="2" fontId="0" fillId="0" borderId="0" xfId="0" applyNumberFormat="1"/>
    <xf numFmtId="164" fontId="3" fillId="3" borderId="0" xfId="0" applyNumberFormat="1" applyFont="1" applyFill="1"/>
    <xf numFmtId="0" fontId="3" fillId="0" borderId="0" xfId="0" applyFont="1"/>
    <xf numFmtId="164" fontId="3" fillId="5" borderId="1" xfId="0" applyNumberFormat="1" applyFont="1" applyFill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www.wps.cn/officeDocument/2023/relationships/customStorage" Target="customStorage/customStorage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7FEE-A3BD-4757-8C43-275F10B56E47}">
  <dimension ref="A1:XFD6"/>
  <sheetViews>
    <sheetView workbookViewId="0">
      <selection activeCell="C3" sqref="C3"/>
    </sheetView>
  </sheetViews>
  <sheetFormatPr defaultRowHeight="15"/>
  <cols>
    <col min="1" max="1" width="18.5703125" customWidth="1"/>
    <col min="2" max="2" width="12.7109375" customWidth="1"/>
    <col min="4" max="4" width="18.28515625" customWidth="1"/>
    <col min="5" max="5" width="14.85546875" customWidth="1"/>
    <col min="6" max="6" width="18.28515625" customWidth="1"/>
    <col min="7" max="7" width="17.85546875" customWidth="1"/>
    <col min="8" max="8" width="12.5703125" customWidth="1"/>
    <col min="9" max="9" width="14.140625" customWidth="1"/>
    <col min="10" max="10" width="12.42578125" customWidth="1"/>
    <col min="11" max="11" width="28.85546875" customWidth="1"/>
    <col min="12" max="12" width="19" customWidth="1"/>
  </cols>
  <sheetData>
    <row r="1" spans="1:13 16384:16384" s="25" customFormat="1" ht="47.25" customHeight="1">
      <c r="A1" s="20" t="s">
        <v>0</v>
      </c>
      <c r="B1" s="21" t="s">
        <v>1</v>
      </c>
      <c r="C1" s="20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2" t="s">
        <v>7</v>
      </c>
      <c r="I1" s="21" t="s">
        <v>8</v>
      </c>
      <c r="J1" s="21" t="s">
        <v>9</v>
      </c>
      <c r="K1" s="23" t="s">
        <v>10</v>
      </c>
      <c r="L1" s="24" t="s">
        <v>11</v>
      </c>
    </row>
    <row r="2" spans="1:13 16384:16384" s="10" customFormat="1" ht="85.5" customHeight="1">
      <c r="A2" s="11" t="s">
        <v>12</v>
      </c>
      <c r="B2" s="12" t="s">
        <v>13</v>
      </c>
      <c r="C2" s="13">
        <v>699</v>
      </c>
      <c r="D2" s="14" t="s">
        <v>19</v>
      </c>
      <c r="E2" s="13">
        <v>5</v>
      </c>
      <c r="F2" s="14" t="s">
        <v>16</v>
      </c>
      <c r="G2" s="15">
        <v>1700</v>
      </c>
      <c r="H2" s="16">
        <v>8500</v>
      </c>
      <c r="I2" s="15" t="s">
        <v>14</v>
      </c>
      <c r="J2" s="17">
        <v>45893</v>
      </c>
      <c r="K2" s="18" t="s">
        <v>17</v>
      </c>
      <c r="L2" s="19"/>
    </row>
    <row r="3" spans="1:13 16384:16384" s="10" customFormat="1" ht="85.5" customHeight="1">
      <c r="A3" s="11" t="s">
        <v>12</v>
      </c>
      <c r="B3" s="12" t="s">
        <v>13</v>
      </c>
      <c r="C3" s="13">
        <v>699</v>
      </c>
      <c r="D3" s="14" t="s">
        <v>18</v>
      </c>
      <c r="E3" s="13">
        <v>7</v>
      </c>
      <c r="F3" s="14" t="s">
        <v>16</v>
      </c>
      <c r="G3" s="15">
        <v>1700</v>
      </c>
      <c r="H3" s="16">
        <v>11900</v>
      </c>
      <c r="I3" s="15" t="s">
        <v>14</v>
      </c>
      <c r="J3" s="17">
        <v>45890</v>
      </c>
      <c r="K3" s="18" t="s">
        <v>17</v>
      </c>
      <c r="L3" s="19"/>
    </row>
    <row r="4" spans="1:13 16384:16384" s="10" customFormat="1" ht="85.5" customHeight="1">
      <c r="A4" s="11" t="s">
        <v>12</v>
      </c>
      <c r="B4" s="12" t="s">
        <v>13</v>
      </c>
      <c r="C4" s="13">
        <v>699</v>
      </c>
      <c r="D4" s="14" t="s">
        <v>15</v>
      </c>
      <c r="E4" s="13">
        <v>1</v>
      </c>
      <c r="F4" s="14" t="s">
        <v>16</v>
      </c>
      <c r="G4" s="15">
        <v>1700</v>
      </c>
      <c r="H4" s="16">
        <v>1700</v>
      </c>
      <c r="I4" s="15" t="s">
        <v>14</v>
      </c>
      <c r="J4" s="17">
        <v>45888</v>
      </c>
      <c r="K4" s="18" t="s">
        <v>17</v>
      </c>
      <c r="L4" s="19"/>
    </row>
    <row r="5" spans="1:13 16384:16384">
      <c r="A5" s="6"/>
      <c r="B5" s="6"/>
      <c r="C5" s="6"/>
      <c r="D5" s="6"/>
      <c r="E5" s="6"/>
      <c r="F5" s="6"/>
      <c r="G5" s="6"/>
      <c r="H5" s="9">
        <f>SUM(H2:H4)</f>
        <v>22100</v>
      </c>
      <c r="I5" s="7" t="e">
        <f>SUM(#REF!)</f>
        <v>#REF!</v>
      </c>
      <c r="J5" s="6"/>
      <c r="K5" s="6"/>
      <c r="L5" s="6"/>
      <c r="M5" s="5"/>
      <c r="XFD5" t="e">
        <f>SUM(A5:XFC5)</f>
        <v>#REF!</v>
      </c>
    </row>
    <row r="6" spans="1:13 16384:16384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</row>
  </sheetData>
  <pageMargins left="0.51181102362204722" right="0.51181102362204722" top="0.78740157480314965" bottom="0.78740157480314965" header="0.31496062992125984" footer="0.31496062992125984"/>
  <pageSetup paperSize="9" scale="6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F6808-70B9-49F4-B8DC-7CD6CAB9FE05}">
  <dimension ref="A1:L7"/>
  <sheetViews>
    <sheetView workbookViewId="0">
      <selection activeCell="I5" sqref="I5"/>
    </sheetView>
  </sheetViews>
  <sheetFormatPr defaultRowHeight="15"/>
  <cols>
    <col min="1" max="1" width="18.5703125" customWidth="1"/>
    <col min="2" max="2" width="10.7109375" customWidth="1"/>
    <col min="4" max="4" width="16" customWidth="1"/>
    <col min="6" max="6" width="17" customWidth="1"/>
    <col min="8" max="9" width="12.42578125" customWidth="1"/>
    <col min="10" max="10" width="10.7109375" bestFit="1" customWidth="1"/>
    <col min="11" max="11" width="25.5703125" customWidth="1"/>
    <col min="12" max="12" width="11.140625" customWidth="1"/>
  </cols>
  <sheetData>
    <row r="1" spans="1:12" ht="47.2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8" t="s">
        <v>7</v>
      </c>
      <c r="I1" s="2" t="s">
        <v>8</v>
      </c>
      <c r="J1" s="2" t="s">
        <v>9</v>
      </c>
      <c r="K1" s="3" t="s">
        <v>10</v>
      </c>
      <c r="L1" s="4" t="s">
        <v>11</v>
      </c>
    </row>
    <row r="2" spans="1:12" s="10" customFormat="1" ht="100.5" customHeight="1">
      <c r="A2" s="11" t="s">
        <v>12</v>
      </c>
      <c r="B2" s="12" t="s">
        <v>13</v>
      </c>
      <c r="C2" s="13">
        <v>746</v>
      </c>
      <c r="D2" s="14" t="s">
        <v>24</v>
      </c>
      <c r="E2" s="13">
        <v>1</v>
      </c>
      <c r="F2" s="14" t="s">
        <v>16</v>
      </c>
      <c r="G2" s="15">
        <v>1700</v>
      </c>
      <c r="H2" s="16">
        <v>1700</v>
      </c>
      <c r="I2" s="27" t="s">
        <v>14</v>
      </c>
      <c r="J2" s="17">
        <v>45911</v>
      </c>
      <c r="K2" s="18" t="s">
        <v>17</v>
      </c>
      <c r="L2" s="19"/>
    </row>
    <row r="3" spans="1:12" s="10" customFormat="1" ht="100.5" customHeight="1">
      <c r="A3" s="11" t="s">
        <v>12</v>
      </c>
      <c r="B3" s="12" t="s">
        <v>13</v>
      </c>
      <c r="C3" s="13">
        <v>746</v>
      </c>
      <c r="D3" s="14" t="s">
        <v>20</v>
      </c>
      <c r="E3" s="13">
        <v>1</v>
      </c>
      <c r="F3" s="14" t="s">
        <v>16</v>
      </c>
      <c r="G3" s="15">
        <v>1700</v>
      </c>
      <c r="H3" s="16">
        <v>1700</v>
      </c>
      <c r="I3" s="15" t="s">
        <v>14</v>
      </c>
      <c r="J3" s="17">
        <v>45888</v>
      </c>
      <c r="K3" s="18" t="s">
        <v>17</v>
      </c>
      <c r="L3" s="19"/>
    </row>
    <row r="4" spans="1:12" s="10" customFormat="1" ht="85.5" customHeight="1">
      <c r="A4" s="11" t="s">
        <v>12</v>
      </c>
      <c r="B4" s="12" t="s">
        <v>13</v>
      </c>
      <c r="C4" s="13">
        <v>746</v>
      </c>
      <c r="D4" s="14" t="s">
        <v>21</v>
      </c>
      <c r="E4" s="13">
        <v>5</v>
      </c>
      <c r="F4" s="14" t="s">
        <v>16</v>
      </c>
      <c r="G4" s="15">
        <v>1700</v>
      </c>
      <c r="H4" s="16">
        <v>8500</v>
      </c>
      <c r="I4" s="15" t="s">
        <v>14</v>
      </c>
      <c r="J4" s="17">
        <v>45893</v>
      </c>
      <c r="K4" s="18" t="s">
        <v>17</v>
      </c>
      <c r="L4" s="19"/>
    </row>
    <row r="5" spans="1:12" s="10" customFormat="1" ht="85.5" customHeight="1">
      <c r="A5" s="11" t="s">
        <v>12</v>
      </c>
      <c r="B5" s="12" t="s">
        <v>13</v>
      </c>
      <c r="C5" s="13">
        <v>746</v>
      </c>
      <c r="D5" s="14" t="s">
        <v>22</v>
      </c>
      <c r="E5" s="13">
        <v>7</v>
      </c>
      <c r="F5" s="14" t="s">
        <v>16</v>
      </c>
      <c r="G5" s="15">
        <v>1700</v>
      </c>
      <c r="H5" s="16">
        <v>11900</v>
      </c>
      <c r="I5" s="15" t="s">
        <v>14</v>
      </c>
      <c r="J5" s="17">
        <v>45890</v>
      </c>
      <c r="K5" s="18" t="s">
        <v>17</v>
      </c>
      <c r="L5" s="19"/>
    </row>
    <row r="6" spans="1:12" s="10" customFormat="1" ht="85.5" customHeight="1">
      <c r="A6" s="11" t="s">
        <v>12</v>
      </c>
      <c r="B6" s="12" t="s">
        <v>13</v>
      </c>
      <c r="C6" s="13">
        <v>746</v>
      </c>
      <c r="D6" s="14" t="s">
        <v>23</v>
      </c>
      <c r="E6" s="13">
        <v>1</v>
      </c>
      <c r="F6" s="14" t="s">
        <v>16</v>
      </c>
      <c r="G6" s="15">
        <v>1700</v>
      </c>
      <c r="H6" s="16">
        <v>1700</v>
      </c>
      <c r="I6" s="15" t="s">
        <v>14</v>
      </c>
      <c r="J6" s="17">
        <v>45888</v>
      </c>
      <c r="K6" s="18" t="s">
        <v>17</v>
      </c>
      <c r="L6" s="19"/>
    </row>
    <row r="7" spans="1:12">
      <c r="H7" s="26">
        <f>SUM(H2:H6)</f>
        <v>25500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444A4-C46D-4D38-90D5-A3250B41721C}">
  <dimension ref="A1:X9"/>
  <sheetViews>
    <sheetView workbookViewId="0">
      <selection activeCell="M6" sqref="M6"/>
    </sheetView>
  </sheetViews>
  <sheetFormatPr defaultRowHeight="15"/>
  <cols>
    <col min="1" max="1" width="18.5703125" customWidth="1"/>
    <col min="2" max="2" width="10.7109375" customWidth="1"/>
    <col min="4" max="4" width="16" customWidth="1"/>
    <col min="6" max="6" width="17" customWidth="1"/>
    <col min="8" max="9" width="12.42578125" customWidth="1"/>
    <col min="10" max="10" width="10.7109375" bestFit="1" customWidth="1"/>
    <col min="11" max="11" width="25.5703125" customWidth="1"/>
    <col min="12" max="12" width="11.140625" customWidth="1"/>
  </cols>
  <sheetData>
    <row r="1" spans="1:24" ht="47.2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8" t="s">
        <v>7</v>
      </c>
      <c r="I1" s="2" t="s">
        <v>8</v>
      </c>
      <c r="J1" s="2" t="s">
        <v>9</v>
      </c>
      <c r="K1" s="3" t="s">
        <v>10</v>
      </c>
      <c r="L1" s="4" t="s">
        <v>11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s="10" customFormat="1" ht="100.5" customHeight="1">
      <c r="A2" s="11" t="s">
        <v>12</v>
      </c>
      <c r="B2" s="29" t="s">
        <v>30</v>
      </c>
      <c r="C2" s="13">
        <v>813</v>
      </c>
      <c r="D2" s="14" t="s">
        <v>25</v>
      </c>
      <c r="E2" s="13">
        <v>1</v>
      </c>
      <c r="F2" s="14" t="s">
        <v>16</v>
      </c>
      <c r="G2" s="15">
        <v>1700</v>
      </c>
      <c r="H2" s="16">
        <v>1700</v>
      </c>
      <c r="I2" s="27" t="s">
        <v>14</v>
      </c>
      <c r="J2" s="17">
        <v>45911</v>
      </c>
      <c r="K2" s="18" t="s">
        <v>17</v>
      </c>
      <c r="L2" s="19"/>
    </row>
    <row r="3" spans="1:24" s="10" customFormat="1" ht="100.5" customHeight="1">
      <c r="A3" s="11" t="s">
        <v>12</v>
      </c>
      <c r="B3" s="12" t="s">
        <v>13</v>
      </c>
      <c r="C3" s="13">
        <v>813</v>
      </c>
      <c r="D3" s="14" t="s">
        <v>26</v>
      </c>
      <c r="E3" s="13">
        <v>1</v>
      </c>
      <c r="F3" s="14" t="s">
        <v>16</v>
      </c>
      <c r="G3" s="15">
        <v>1700</v>
      </c>
      <c r="H3" s="16">
        <v>1700</v>
      </c>
      <c r="I3" s="15" t="s">
        <v>14</v>
      </c>
      <c r="J3" s="17">
        <v>45888</v>
      </c>
      <c r="K3" s="18" t="s">
        <v>17</v>
      </c>
      <c r="L3" s="19"/>
    </row>
    <row r="4" spans="1:24" s="10" customFormat="1" ht="85.5" customHeight="1">
      <c r="A4" s="11" t="s">
        <v>12</v>
      </c>
      <c r="B4" s="12" t="s">
        <v>13</v>
      </c>
      <c r="C4" s="13">
        <v>813</v>
      </c>
      <c r="D4" s="14" t="s">
        <v>27</v>
      </c>
      <c r="E4" s="13">
        <v>5</v>
      </c>
      <c r="F4" s="14" t="s">
        <v>16</v>
      </c>
      <c r="G4" s="15">
        <v>1700</v>
      </c>
      <c r="H4" s="16">
        <v>8500</v>
      </c>
      <c r="I4" s="15" t="s">
        <v>14</v>
      </c>
      <c r="J4" s="17">
        <v>45893</v>
      </c>
      <c r="K4" s="18" t="s">
        <v>17</v>
      </c>
      <c r="L4" s="19"/>
    </row>
    <row r="5" spans="1:24" s="10" customFormat="1" ht="85.5" customHeight="1">
      <c r="A5" s="11" t="s">
        <v>12</v>
      </c>
      <c r="B5" s="12" t="s">
        <v>13</v>
      </c>
      <c r="C5" s="13">
        <v>813</v>
      </c>
      <c r="D5" s="14" t="s">
        <v>28</v>
      </c>
      <c r="E5" s="13">
        <v>7</v>
      </c>
      <c r="F5" s="14" t="s">
        <v>16</v>
      </c>
      <c r="G5" s="15">
        <v>1700</v>
      </c>
      <c r="H5" s="16">
        <v>11900</v>
      </c>
      <c r="I5" s="15" t="s">
        <v>14</v>
      </c>
      <c r="J5" s="17">
        <v>45890</v>
      </c>
      <c r="K5" s="18" t="s">
        <v>17</v>
      </c>
      <c r="L5" s="19"/>
    </row>
    <row r="6" spans="1:24" s="10" customFormat="1" ht="85.5" customHeight="1">
      <c r="A6" s="11" t="s">
        <v>12</v>
      </c>
      <c r="B6" s="12" t="s">
        <v>13</v>
      </c>
      <c r="C6" s="13">
        <v>813</v>
      </c>
      <c r="D6" s="14" t="s">
        <v>29</v>
      </c>
      <c r="E6" s="13">
        <v>1</v>
      </c>
      <c r="F6" s="14" t="s">
        <v>16</v>
      </c>
      <c r="G6" s="15">
        <v>1700</v>
      </c>
      <c r="H6" s="16">
        <v>1700</v>
      </c>
      <c r="I6" s="15" t="s">
        <v>14</v>
      </c>
      <c r="J6" s="17">
        <v>45888</v>
      </c>
      <c r="K6" s="18" t="s">
        <v>17</v>
      </c>
      <c r="L6" s="19"/>
    </row>
    <row r="7" spans="1:24">
      <c r="A7" s="5"/>
      <c r="B7" s="5"/>
      <c r="C7" s="5"/>
      <c r="D7" s="5"/>
      <c r="E7" s="5"/>
      <c r="F7" s="5"/>
      <c r="G7" s="5"/>
      <c r="H7" s="28">
        <f>SUM(H2:H6)</f>
        <v>25500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>
      <c r="N9" s="5"/>
      <c r="O9" s="5"/>
      <c r="P9" s="5"/>
      <c r="Q9" s="5"/>
      <c r="R9" s="5"/>
      <c r="S9" s="5"/>
      <c r="T9" s="5"/>
      <c r="U9" s="5"/>
      <c r="V9" s="5"/>
      <c r="W9" s="5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7BA9-DE35-4411-8ECF-A21904C17929}">
  <dimension ref="A1:X8"/>
  <sheetViews>
    <sheetView workbookViewId="0">
      <selection activeCell="H6" sqref="H6"/>
    </sheetView>
  </sheetViews>
  <sheetFormatPr defaultRowHeight="15"/>
  <cols>
    <col min="1" max="1" width="18.5703125" customWidth="1"/>
    <col min="2" max="2" width="10.7109375" customWidth="1"/>
    <col min="4" max="4" width="16" customWidth="1"/>
    <col min="6" max="6" width="17" customWidth="1"/>
    <col min="8" max="9" width="12.42578125" customWidth="1"/>
    <col min="10" max="10" width="10.7109375" bestFit="1" customWidth="1"/>
    <col min="11" max="11" width="25.5703125" customWidth="1"/>
    <col min="12" max="12" width="11.140625" customWidth="1"/>
  </cols>
  <sheetData>
    <row r="1" spans="1:24" ht="47.2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8" t="s">
        <v>7</v>
      </c>
      <c r="I1" s="2" t="s">
        <v>8</v>
      </c>
      <c r="J1" s="2" t="s">
        <v>9</v>
      </c>
      <c r="K1" s="3" t="s">
        <v>10</v>
      </c>
      <c r="L1" s="4" t="s">
        <v>11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s="10" customFormat="1" ht="100.5" customHeight="1">
      <c r="A2" s="11" t="s">
        <v>12</v>
      </c>
      <c r="B2" s="12" t="s">
        <v>13</v>
      </c>
      <c r="C2" s="13">
        <v>12</v>
      </c>
      <c r="D2" s="14" t="s">
        <v>31</v>
      </c>
      <c r="E2" s="13">
        <v>1</v>
      </c>
      <c r="F2" s="14" t="s">
        <v>16</v>
      </c>
      <c r="G2" s="15">
        <v>1700</v>
      </c>
      <c r="H2" s="16">
        <v>1700</v>
      </c>
      <c r="I2" s="15" t="s">
        <v>14</v>
      </c>
      <c r="J2" s="17">
        <v>45888</v>
      </c>
      <c r="K2" s="18" t="s">
        <v>17</v>
      </c>
      <c r="L2" s="19"/>
    </row>
    <row r="3" spans="1:24" s="10" customFormat="1" ht="85.5" customHeight="1">
      <c r="A3" s="11" t="s">
        <v>12</v>
      </c>
      <c r="B3" s="12" t="s">
        <v>13</v>
      </c>
      <c r="C3" s="13">
        <v>12</v>
      </c>
      <c r="D3" s="14" t="s">
        <v>32</v>
      </c>
      <c r="E3" s="13">
        <v>5</v>
      </c>
      <c r="F3" s="14" t="s">
        <v>16</v>
      </c>
      <c r="G3" s="15">
        <v>1700</v>
      </c>
      <c r="H3" s="16">
        <v>8500</v>
      </c>
      <c r="I3" s="15" t="s">
        <v>14</v>
      </c>
      <c r="J3" s="17">
        <v>45893</v>
      </c>
      <c r="K3" s="18" t="s">
        <v>17</v>
      </c>
      <c r="L3" s="19"/>
    </row>
    <row r="4" spans="1:24" s="10" customFormat="1" ht="85.5" customHeight="1">
      <c r="A4" s="11" t="s">
        <v>12</v>
      </c>
      <c r="B4" s="12" t="s">
        <v>13</v>
      </c>
      <c r="C4" s="13">
        <v>12</v>
      </c>
      <c r="D4" s="14" t="s">
        <v>33</v>
      </c>
      <c r="E4" s="13">
        <v>7</v>
      </c>
      <c r="F4" s="14" t="s">
        <v>16</v>
      </c>
      <c r="G4" s="15">
        <v>1700</v>
      </c>
      <c r="H4" s="16">
        <v>11900</v>
      </c>
      <c r="I4" s="15" t="s">
        <v>14</v>
      </c>
      <c r="J4" s="17">
        <v>45890</v>
      </c>
      <c r="K4" s="18" t="s">
        <v>17</v>
      </c>
      <c r="L4" s="19"/>
    </row>
    <row r="5" spans="1:24" s="10" customFormat="1" ht="85.5" customHeight="1">
      <c r="A5" s="11" t="s">
        <v>12</v>
      </c>
      <c r="B5" s="12" t="s">
        <v>13</v>
      </c>
      <c r="C5" s="13">
        <v>12</v>
      </c>
      <c r="D5" s="14" t="s">
        <v>34</v>
      </c>
      <c r="E5" s="13">
        <v>1</v>
      </c>
      <c r="F5" s="14" t="s">
        <v>16</v>
      </c>
      <c r="G5" s="15">
        <v>1700</v>
      </c>
      <c r="H5" s="16">
        <v>1700</v>
      </c>
      <c r="I5" s="15" t="s">
        <v>14</v>
      </c>
      <c r="J5" s="17">
        <v>45888</v>
      </c>
      <c r="K5" s="18" t="s">
        <v>17</v>
      </c>
      <c r="L5" s="19"/>
    </row>
    <row r="6" spans="1:24">
      <c r="A6" s="5"/>
      <c r="B6" s="5"/>
      <c r="C6" s="5"/>
      <c r="D6" s="5"/>
      <c r="E6" s="5"/>
      <c r="F6" s="5"/>
      <c r="G6" s="5"/>
      <c r="H6" s="28">
        <f>SUM(H2:H5)</f>
        <v>23800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>
      <c r="N8" s="5"/>
      <c r="O8" s="5"/>
      <c r="P8" s="5"/>
      <c r="Q8" s="5"/>
      <c r="R8" s="5"/>
      <c r="S8" s="5"/>
      <c r="T8" s="5"/>
      <c r="U8" s="5"/>
      <c r="V8" s="5"/>
      <c r="W8" s="5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37F64-36F2-4A22-A3E1-02F742C5709D}">
  <dimension ref="A1:X8"/>
  <sheetViews>
    <sheetView workbookViewId="0">
      <selection activeCell="K2" sqref="K2"/>
    </sheetView>
  </sheetViews>
  <sheetFormatPr defaultRowHeight="15"/>
  <cols>
    <col min="1" max="1" width="18.5703125" customWidth="1"/>
    <col min="2" max="2" width="10.7109375" customWidth="1"/>
    <col min="4" max="4" width="16" customWidth="1"/>
    <col min="6" max="6" width="17" customWidth="1"/>
    <col min="8" max="9" width="12.42578125" customWidth="1"/>
    <col min="10" max="10" width="10.7109375" bestFit="1" customWidth="1"/>
    <col min="11" max="11" width="25.5703125" customWidth="1"/>
    <col min="12" max="12" width="11.140625" customWidth="1"/>
  </cols>
  <sheetData>
    <row r="1" spans="1:24" ht="47.2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8" t="s">
        <v>7</v>
      </c>
      <c r="I1" s="2" t="s">
        <v>8</v>
      </c>
      <c r="J1" s="2" t="s">
        <v>9</v>
      </c>
      <c r="K1" s="3" t="s">
        <v>10</v>
      </c>
      <c r="L1" s="4" t="s">
        <v>11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s="10" customFormat="1" ht="100.5" customHeight="1">
      <c r="A2" s="11" t="s">
        <v>12</v>
      </c>
      <c r="B2" s="12" t="s">
        <v>13</v>
      </c>
      <c r="C2" s="13">
        <v>43</v>
      </c>
      <c r="D2" s="14" t="s">
        <v>35</v>
      </c>
      <c r="E2" s="13">
        <v>1</v>
      </c>
      <c r="F2" s="14" t="s">
        <v>16</v>
      </c>
      <c r="G2" s="15">
        <v>1700</v>
      </c>
      <c r="H2" s="16">
        <v>1700</v>
      </c>
      <c r="I2" s="15" t="s">
        <v>14</v>
      </c>
      <c r="J2" s="17">
        <v>45888</v>
      </c>
      <c r="K2" s="18" t="s">
        <v>17</v>
      </c>
      <c r="L2" s="19"/>
    </row>
    <row r="3" spans="1:24" s="10" customFormat="1" ht="85.5" customHeight="1">
      <c r="A3" s="11" t="s">
        <v>12</v>
      </c>
      <c r="B3" s="12" t="s">
        <v>13</v>
      </c>
      <c r="C3" s="13">
        <v>43</v>
      </c>
      <c r="D3" s="14" t="s">
        <v>36</v>
      </c>
      <c r="E3" s="13">
        <v>5</v>
      </c>
      <c r="F3" s="14" t="s">
        <v>16</v>
      </c>
      <c r="G3" s="15">
        <v>1700</v>
      </c>
      <c r="H3" s="16">
        <v>8500</v>
      </c>
      <c r="I3" s="15" t="s">
        <v>14</v>
      </c>
      <c r="J3" s="17">
        <v>45893</v>
      </c>
      <c r="K3" s="18" t="s">
        <v>17</v>
      </c>
      <c r="L3" s="19"/>
    </row>
    <row r="4" spans="1:24" s="10" customFormat="1" ht="85.5" customHeight="1">
      <c r="A4" s="11" t="s">
        <v>12</v>
      </c>
      <c r="B4" s="12" t="s">
        <v>13</v>
      </c>
      <c r="C4" s="13">
        <v>43</v>
      </c>
      <c r="D4" s="14" t="s">
        <v>37</v>
      </c>
      <c r="E4" s="13">
        <v>7</v>
      </c>
      <c r="F4" s="14" t="s">
        <v>16</v>
      </c>
      <c r="G4" s="15">
        <v>1700</v>
      </c>
      <c r="H4" s="16">
        <v>11900</v>
      </c>
      <c r="I4" s="15" t="s">
        <v>14</v>
      </c>
      <c r="J4" s="17">
        <v>45890</v>
      </c>
      <c r="K4" s="18" t="s">
        <v>17</v>
      </c>
      <c r="L4" s="19"/>
    </row>
    <row r="5" spans="1:24" s="10" customFormat="1" ht="85.5" customHeight="1">
      <c r="A5" s="11" t="s">
        <v>12</v>
      </c>
      <c r="B5" s="12" t="s">
        <v>13</v>
      </c>
      <c r="C5" s="13">
        <v>43</v>
      </c>
      <c r="D5" s="14" t="s">
        <v>38</v>
      </c>
      <c r="E5" s="13">
        <v>1</v>
      </c>
      <c r="F5" s="14" t="s">
        <v>16</v>
      </c>
      <c r="G5" s="15">
        <v>1700</v>
      </c>
      <c r="H5" s="16">
        <v>1700</v>
      </c>
      <c r="I5" s="15" t="s">
        <v>14</v>
      </c>
      <c r="J5" s="17">
        <v>45888</v>
      </c>
      <c r="K5" s="18" t="s">
        <v>17</v>
      </c>
      <c r="L5" s="19"/>
    </row>
    <row r="6" spans="1:24">
      <c r="A6" s="5"/>
      <c r="B6" s="5"/>
      <c r="C6" s="5"/>
      <c r="D6" s="5"/>
      <c r="E6" s="5"/>
      <c r="F6" s="5"/>
      <c r="G6" s="5"/>
      <c r="H6" s="28">
        <f>SUM(H2:H5)</f>
        <v>23800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>
      <c r="N8" s="5"/>
      <c r="O8" s="5"/>
      <c r="P8" s="5"/>
      <c r="Q8" s="5"/>
      <c r="R8" s="5"/>
      <c r="S8" s="5"/>
      <c r="T8" s="5"/>
      <c r="U8" s="5"/>
      <c r="V8" s="5"/>
      <c r="W8" s="5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2598C-7BA0-4613-B2DB-65E73DEDB218}">
  <dimension ref="A1:X10"/>
  <sheetViews>
    <sheetView workbookViewId="0">
      <selection activeCell="M15" sqref="M15"/>
    </sheetView>
  </sheetViews>
  <sheetFormatPr defaultRowHeight="15"/>
  <cols>
    <col min="1" max="1" width="18.5703125" customWidth="1"/>
    <col min="2" max="2" width="10.7109375" customWidth="1"/>
    <col min="4" max="4" width="16" customWidth="1"/>
    <col min="6" max="6" width="17" customWidth="1"/>
    <col min="7" max="7" width="10.7109375" bestFit="1" customWidth="1"/>
    <col min="8" max="9" width="12.42578125" customWidth="1"/>
    <col min="10" max="10" width="10.7109375" bestFit="1" customWidth="1"/>
    <col min="11" max="11" width="25.5703125" customWidth="1"/>
    <col min="12" max="12" width="11.140625" customWidth="1"/>
  </cols>
  <sheetData>
    <row r="1" spans="1:24" ht="47.2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8" t="s">
        <v>7</v>
      </c>
      <c r="I1" s="2" t="s">
        <v>8</v>
      </c>
      <c r="J1" s="2" t="s">
        <v>9</v>
      </c>
      <c r="K1" s="3" t="s">
        <v>10</v>
      </c>
      <c r="L1" s="4" t="s">
        <v>11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s="10" customFormat="1" ht="126" customHeight="1">
      <c r="A2" s="14" t="s">
        <v>12</v>
      </c>
      <c r="B2" s="14" t="s">
        <v>44</v>
      </c>
      <c r="C2" s="14">
        <v>78</v>
      </c>
      <c r="D2" s="14" t="s">
        <v>43</v>
      </c>
      <c r="E2" s="14">
        <v>3</v>
      </c>
      <c r="F2" s="14" t="s">
        <v>16</v>
      </c>
      <c r="G2" s="35">
        <v>1700</v>
      </c>
      <c r="H2" s="35">
        <v>5100</v>
      </c>
      <c r="I2" s="15" t="s">
        <v>14</v>
      </c>
      <c r="J2" s="36">
        <v>46080</v>
      </c>
      <c r="K2" s="18" t="s">
        <v>17</v>
      </c>
    </row>
    <row r="3" spans="1:24" s="10" customFormat="1" ht="100.5" customHeight="1">
      <c r="A3" s="11" t="s">
        <v>12</v>
      </c>
      <c r="B3" s="12" t="s">
        <v>13</v>
      </c>
      <c r="C3" s="13">
        <v>78</v>
      </c>
      <c r="D3" s="14" t="s">
        <v>40</v>
      </c>
      <c r="E3" s="13">
        <v>1</v>
      </c>
      <c r="F3" s="14" t="s">
        <v>16</v>
      </c>
      <c r="G3" s="15">
        <v>1700</v>
      </c>
      <c r="H3" s="16">
        <v>1700</v>
      </c>
      <c r="I3" s="15" t="s">
        <v>14</v>
      </c>
      <c r="J3" s="17">
        <v>45888</v>
      </c>
      <c r="K3" s="18" t="s">
        <v>17</v>
      </c>
      <c r="L3" s="19"/>
    </row>
    <row r="4" spans="1:24" s="10" customFormat="1" ht="85.5" customHeight="1">
      <c r="A4" s="11" t="s">
        <v>12</v>
      </c>
      <c r="B4" s="12" t="s">
        <v>13</v>
      </c>
      <c r="C4" s="13">
        <v>78</v>
      </c>
      <c r="D4" s="14" t="s">
        <v>39</v>
      </c>
      <c r="E4" s="13">
        <v>5</v>
      </c>
      <c r="F4" s="14" t="s">
        <v>16</v>
      </c>
      <c r="G4" s="15">
        <v>1700</v>
      </c>
      <c r="H4" s="16">
        <v>8500</v>
      </c>
      <c r="I4" s="15" t="s">
        <v>14</v>
      </c>
      <c r="J4" s="17">
        <v>45893</v>
      </c>
      <c r="K4" s="18" t="s">
        <v>17</v>
      </c>
      <c r="L4" s="19"/>
    </row>
    <row r="5" spans="1:24" s="10" customFormat="1" ht="85.5" customHeight="1">
      <c r="A5" s="11" t="s">
        <v>12</v>
      </c>
      <c r="B5" s="12" t="s">
        <v>13</v>
      </c>
      <c r="C5" s="13">
        <v>78</v>
      </c>
      <c r="D5" s="14" t="s">
        <v>41</v>
      </c>
      <c r="E5" s="13">
        <v>7</v>
      </c>
      <c r="F5" s="14" t="s">
        <v>16</v>
      </c>
      <c r="G5" s="15">
        <v>1700</v>
      </c>
      <c r="H5" s="16">
        <v>11900</v>
      </c>
      <c r="I5" s="15" t="s">
        <v>14</v>
      </c>
      <c r="J5" s="17">
        <v>45890</v>
      </c>
      <c r="K5" s="18" t="s">
        <v>17</v>
      </c>
      <c r="L5" s="19"/>
    </row>
    <row r="6" spans="1:24" s="10" customFormat="1" ht="85.5" customHeight="1">
      <c r="A6" s="11" t="s">
        <v>12</v>
      </c>
      <c r="B6" s="12" t="s">
        <v>13</v>
      </c>
      <c r="C6" s="13">
        <v>78</v>
      </c>
      <c r="D6" s="14" t="s">
        <v>42</v>
      </c>
      <c r="E6" s="13">
        <v>1</v>
      </c>
      <c r="F6" s="14" t="s">
        <v>16</v>
      </c>
      <c r="G6" s="15">
        <v>1700</v>
      </c>
      <c r="H6" s="16">
        <v>1700</v>
      </c>
      <c r="I6" s="15" t="s">
        <v>14</v>
      </c>
      <c r="J6" s="17">
        <v>45888</v>
      </c>
      <c r="K6" s="18" t="s">
        <v>17</v>
      </c>
      <c r="L6" s="19"/>
    </row>
    <row r="7" spans="1:24">
      <c r="A7" s="5"/>
      <c r="B7" s="5"/>
      <c r="C7" s="5"/>
      <c r="D7" s="5"/>
      <c r="E7" s="5"/>
      <c r="F7" s="5"/>
      <c r="G7" s="5"/>
      <c r="H7" s="33">
        <f>SUM(H2:H6)</f>
        <v>28900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>
      <c r="A8" s="5"/>
      <c r="B8" s="5"/>
      <c r="C8" s="5"/>
      <c r="D8" s="5"/>
      <c r="E8" s="5"/>
      <c r="F8" s="5"/>
      <c r="G8" s="5"/>
      <c r="H8" s="31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>
      <c r="A9" s="34" t="s">
        <v>45</v>
      </c>
      <c r="H9" s="32">
        <v>-680</v>
      </c>
      <c r="N9" s="5"/>
      <c r="O9" s="5"/>
      <c r="P9" s="5"/>
      <c r="Q9" s="5"/>
      <c r="R9" s="5"/>
      <c r="S9" s="5"/>
      <c r="T9" s="5"/>
      <c r="U9" s="5"/>
      <c r="V9" s="5"/>
      <c r="W9" s="5"/>
    </row>
    <row r="10" spans="1:24">
      <c r="H10" s="30">
        <f>SUM(H9,H7)</f>
        <v>28220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8E1E3-3A79-4223-89D0-3A2F1C114F72}">
  <dimension ref="A1:X10"/>
  <sheetViews>
    <sheetView workbookViewId="0"/>
  </sheetViews>
  <sheetFormatPr defaultRowHeight="15"/>
  <cols>
    <col min="1" max="1" width="18.5703125" customWidth="1"/>
    <col min="2" max="2" width="10.7109375" customWidth="1"/>
    <col min="4" max="4" width="16" customWidth="1"/>
    <col min="6" max="6" width="17" customWidth="1"/>
    <col min="7" max="7" width="10.7109375" bestFit="1" customWidth="1"/>
    <col min="8" max="9" width="12.42578125" customWidth="1"/>
    <col min="10" max="10" width="10.7109375" bestFit="1" customWidth="1"/>
    <col min="11" max="11" width="25.5703125" customWidth="1"/>
    <col min="12" max="12" width="11.140625" customWidth="1"/>
  </cols>
  <sheetData>
    <row r="1" spans="1:24" ht="47.2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8" t="s">
        <v>7</v>
      </c>
      <c r="I1" s="2" t="s">
        <v>8</v>
      </c>
      <c r="J1" s="2" t="s">
        <v>9</v>
      </c>
      <c r="K1" s="3" t="s">
        <v>10</v>
      </c>
      <c r="L1" s="4" t="s">
        <v>11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s="10" customFormat="1" ht="126" customHeight="1">
      <c r="A2" s="14" t="s">
        <v>12</v>
      </c>
      <c r="B2" s="14" t="s">
        <v>44</v>
      </c>
      <c r="C2" s="14">
        <v>85</v>
      </c>
      <c r="D2" s="14" t="s">
        <v>46</v>
      </c>
      <c r="E2" s="14">
        <v>3</v>
      </c>
      <c r="F2" s="14" t="s">
        <v>16</v>
      </c>
      <c r="G2" s="35">
        <v>1700</v>
      </c>
      <c r="H2" s="35">
        <v>5100</v>
      </c>
      <c r="I2" s="15" t="s">
        <v>14</v>
      </c>
      <c r="J2" s="36">
        <v>46080</v>
      </c>
      <c r="K2" s="18" t="s">
        <v>17</v>
      </c>
    </row>
    <row r="3" spans="1:24" s="10" customFormat="1" ht="100.5" customHeight="1">
      <c r="A3" s="11" t="s">
        <v>12</v>
      </c>
      <c r="B3" s="12" t="s">
        <v>13</v>
      </c>
      <c r="C3" s="13">
        <v>85</v>
      </c>
      <c r="D3" s="14" t="s">
        <v>47</v>
      </c>
      <c r="E3" s="13">
        <v>1</v>
      </c>
      <c r="F3" s="14" t="s">
        <v>16</v>
      </c>
      <c r="G3" s="15">
        <v>1700</v>
      </c>
      <c r="H3" s="16">
        <v>1700</v>
      </c>
      <c r="I3" s="15" t="s">
        <v>14</v>
      </c>
      <c r="J3" s="17">
        <v>45888</v>
      </c>
      <c r="K3" s="18" t="s">
        <v>17</v>
      </c>
      <c r="L3" s="19"/>
    </row>
    <row r="4" spans="1:24" s="10" customFormat="1" ht="85.5" customHeight="1">
      <c r="A4" s="11" t="s">
        <v>12</v>
      </c>
      <c r="B4" s="12" t="s">
        <v>13</v>
      </c>
      <c r="C4" s="13">
        <v>85</v>
      </c>
      <c r="D4" s="14" t="s">
        <v>48</v>
      </c>
      <c r="E4" s="13">
        <v>5</v>
      </c>
      <c r="F4" s="14" t="s">
        <v>16</v>
      </c>
      <c r="G4" s="15">
        <v>1700</v>
      </c>
      <c r="H4" s="16">
        <v>8500</v>
      </c>
      <c r="I4" s="15" t="s">
        <v>14</v>
      </c>
      <c r="J4" s="17">
        <v>45893</v>
      </c>
      <c r="K4" s="18" t="s">
        <v>17</v>
      </c>
      <c r="L4" s="19"/>
    </row>
    <row r="5" spans="1:24" s="10" customFormat="1" ht="85.5" customHeight="1">
      <c r="A5" s="11" t="s">
        <v>12</v>
      </c>
      <c r="B5" s="12" t="s">
        <v>13</v>
      </c>
      <c r="C5" s="13">
        <v>85</v>
      </c>
      <c r="D5" s="14" t="s">
        <v>49</v>
      </c>
      <c r="E5" s="13">
        <v>7</v>
      </c>
      <c r="F5" s="14" t="s">
        <v>16</v>
      </c>
      <c r="G5" s="15">
        <v>1700</v>
      </c>
      <c r="H5" s="16">
        <v>11900</v>
      </c>
      <c r="I5" s="15" t="s">
        <v>14</v>
      </c>
      <c r="J5" s="17">
        <v>45890</v>
      </c>
      <c r="K5" s="18" t="s">
        <v>17</v>
      </c>
      <c r="L5" s="19"/>
    </row>
    <row r="6" spans="1:24" s="10" customFormat="1" ht="85.5" customHeight="1">
      <c r="A6" s="11" t="s">
        <v>12</v>
      </c>
      <c r="B6" s="12" t="s">
        <v>13</v>
      </c>
      <c r="C6" s="13">
        <v>85</v>
      </c>
      <c r="D6" s="14" t="s">
        <v>50</v>
      </c>
      <c r="E6" s="13">
        <v>1</v>
      </c>
      <c r="F6" s="14" t="s">
        <v>16</v>
      </c>
      <c r="G6" s="15">
        <v>1700</v>
      </c>
      <c r="H6" s="16">
        <v>1700</v>
      </c>
      <c r="I6" s="15" t="s">
        <v>14</v>
      </c>
      <c r="J6" s="17">
        <v>45888</v>
      </c>
      <c r="K6" s="18" t="s">
        <v>17</v>
      </c>
      <c r="L6" s="19"/>
    </row>
    <row r="7" spans="1:24">
      <c r="A7" s="5"/>
      <c r="B7" s="5"/>
      <c r="C7" s="5"/>
      <c r="D7" s="5"/>
      <c r="E7" s="5"/>
      <c r="F7" s="5"/>
      <c r="G7" s="5"/>
      <c r="H7" s="30">
        <f>SUM(H2:H6)</f>
        <v>28900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>
      <c r="A8" s="5"/>
      <c r="B8" s="5"/>
      <c r="C8" s="5"/>
      <c r="D8" s="5"/>
      <c r="E8" s="5"/>
      <c r="F8" s="5"/>
      <c r="G8" s="5"/>
      <c r="H8" s="31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>
      <c r="A9" s="34"/>
      <c r="H9" s="32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4">
      <c r="H10" s="33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EC575-EDBB-4D6A-B5F9-86EA82140AD2}">
  <dimension ref="A1:X11"/>
  <sheetViews>
    <sheetView topLeftCell="A7" workbookViewId="0">
      <selection activeCell="J20" sqref="J20"/>
    </sheetView>
  </sheetViews>
  <sheetFormatPr defaultRowHeight="15"/>
  <cols>
    <col min="1" max="1" width="16.7109375" customWidth="1"/>
    <col min="2" max="2" width="8.5703125" customWidth="1"/>
    <col min="3" max="3" width="7.7109375" customWidth="1"/>
    <col min="4" max="4" width="12.85546875" customWidth="1"/>
    <col min="5" max="5" width="5.42578125" customWidth="1"/>
    <col min="6" max="6" width="14.42578125" customWidth="1"/>
    <col min="7" max="7" width="10.7109375" bestFit="1" customWidth="1"/>
    <col min="8" max="9" width="12.42578125" customWidth="1"/>
    <col min="10" max="10" width="10.7109375" bestFit="1" customWidth="1"/>
    <col min="11" max="11" width="25.5703125" customWidth="1"/>
    <col min="12" max="12" width="11.140625" customWidth="1"/>
  </cols>
  <sheetData>
    <row r="1" spans="1:24" ht="47.25" customHeight="1">
      <c r="A1" s="1" t="s">
        <v>57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8" t="s">
        <v>7</v>
      </c>
      <c r="I1" s="2" t="s">
        <v>8</v>
      </c>
      <c r="J1" s="2" t="s">
        <v>9</v>
      </c>
      <c r="K1" s="3" t="s">
        <v>10</v>
      </c>
      <c r="L1" s="4" t="s">
        <v>11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s="10" customFormat="1" ht="126" customHeight="1">
      <c r="A2" s="14" t="s">
        <v>12</v>
      </c>
      <c r="B2" s="14" t="s">
        <v>44</v>
      </c>
      <c r="C2" s="14">
        <v>112</v>
      </c>
      <c r="D2" s="14" t="s">
        <v>56</v>
      </c>
      <c r="E2" s="14">
        <v>1</v>
      </c>
      <c r="F2" s="14" t="s">
        <v>16</v>
      </c>
      <c r="G2" s="35">
        <v>1700</v>
      </c>
      <c r="H2" s="35">
        <v>1700</v>
      </c>
      <c r="I2" s="15" t="s">
        <v>14</v>
      </c>
      <c r="J2" s="36">
        <v>46136</v>
      </c>
      <c r="K2" s="18" t="s">
        <v>17</v>
      </c>
    </row>
    <row r="3" spans="1:24" s="10" customFormat="1" ht="126" customHeight="1">
      <c r="A3" s="14" t="s">
        <v>12</v>
      </c>
      <c r="B3" s="14" t="s">
        <v>44</v>
      </c>
      <c r="C3" s="14">
        <v>112</v>
      </c>
      <c r="D3" s="14" t="s">
        <v>51</v>
      </c>
      <c r="E3" s="14">
        <v>3</v>
      </c>
      <c r="F3" s="14" t="s">
        <v>16</v>
      </c>
      <c r="G3" s="35">
        <v>1700</v>
      </c>
      <c r="H3" s="35">
        <v>5100</v>
      </c>
      <c r="I3" s="15" t="s">
        <v>14</v>
      </c>
      <c r="J3" s="36">
        <v>46080</v>
      </c>
      <c r="K3" s="18" t="s">
        <v>17</v>
      </c>
    </row>
    <row r="4" spans="1:24" s="10" customFormat="1" ht="100.5" customHeight="1">
      <c r="A4" s="11" t="s">
        <v>12</v>
      </c>
      <c r="B4" s="12" t="s">
        <v>13</v>
      </c>
      <c r="C4" s="13">
        <v>112</v>
      </c>
      <c r="D4" s="14" t="s">
        <v>52</v>
      </c>
      <c r="E4" s="13">
        <v>1</v>
      </c>
      <c r="F4" s="14" t="s">
        <v>16</v>
      </c>
      <c r="G4" s="15">
        <v>1700</v>
      </c>
      <c r="H4" s="16">
        <v>1700</v>
      </c>
      <c r="I4" s="15" t="s">
        <v>14</v>
      </c>
      <c r="J4" s="17">
        <v>45888</v>
      </c>
      <c r="K4" s="18" t="s">
        <v>17</v>
      </c>
      <c r="L4" s="19"/>
    </row>
    <row r="5" spans="1:24" s="10" customFormat="1" ht="85.5" customHeight="1">
      <c r="A5" s="11" t="s">
        <v>12</v>
      </c>
      <c r="B5" s="12" t="s">
        <v>13</v>
      </c>
      <c r="C5" s="13">
        <v>112</v>
      </c>
      <c r="D5" s="14" t="s">
        <v>53</v>
      </c>
      <c r="E5" s="13">
        <v>5</v>
      </c>
      <c r="F5" s="14" t="s">
        <v>16</v>
      </c>
      <c r="G5" s="15">
        <v>1700</v>
      </c>
      <c r="H5" s="16">
        <v>8500</v>
      </c>
      <c r="I5" s="15" t="s">
        <v>14</v>
      </c>
      <c r="J5" s="17">
        <v>45893</v>
      </c>
      <c r="K5" s="18" t="s">
        <v>17</v>
      </c>
      <c r="L5" s="19"/>
    </row>
    <row r="6" spans="1:24" s="10" customFormat="1" ht="85.5" customHeight="1">
      <c r="A6" s="11" t="s">
        <v>12</v>
      </c>
      <c r="B6" s="12" t="s">
        <v>13</v>
      </c>
      <c r="C6" s="13">
        <v>112</v>
      </c>
      <c r="D6" s="14" t="s">
        <v>54</v>
      </c>
      <c r="E6" s="13">
        <v>7</v>
      </c>
      <c r="F6" s="14" t="s">
        <v>16</v>
      </c>
      <c r="G6" s="15">
        <v>1700</v>
      </c>
      <c r="H6" s="16">
        <v>11900</v>
      </c>
      <c r="I6" s="15" t="s">
        <v>14</v>
      </c>
      <c r="J6" s="17">
        <v>45890</v>
      </c>
      <c r="K6" s="18" t="s">
        <v>17</v>
      </c>
      <c r="L6" s="19"/>
    </row>
    <row r="7" spans="1:24" s="10" customFormat="1" ht="85.5" customHeight="1">
      <c r="A7" s="11" t="s">
        <v>12</v>
      </c>
      <c r="B7" s="12" t="s">
        <v>13</v>
      </c>
      <c r="C7" s="13">
        <v>112</v>
      </c>
      <c r="D7" s="14" t="s">
        <v>55</v>
      </c>
      <c r="E7" s="13">
        <v>1</v>
      </c>
      <c r="F7" s="14" t="s">
        <v>16</v>
      </c>
      <c r="G7" s="15">
        <v>1700</v>
      </c>
      <c r="H7" s="16">
        <v>1700</v>
      </c>
      <c r="I7" s="15" t="s">
        <v>14</v>
      </c>
      <c r="J7" s="17">
        <v>45888</v>
      </c>
      <c r="K7" s="18" t="s">
        <v>17</v>
      </c>
      <c r="L7" s="19"/>
    </row>
    <row r="8" spans="1:24">
      <c r="A8" s="5"/>
      <c r="B8" s="5"/>
      <c r="C8" s="5"/>
      <c r="D8" s="5"/>
      <c r="E8" s="5"/>
      <c r="F8" s="5"/>
      <c r="G8" s="5"/>
      <c r="H8" s="30">
        <f>SUM(H2:H7)</f>
        <v>30600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>
      <c r="A9" s="5"/>
      <c r="B9" s="5"/>
      <c r="C9" s="5"/>
      <c r="D9" s="5"/>
      <c r="E9" s="5"/>
      <c r="F9" s="5"/>
      <c r="G9" s="5"/>
      <c r="H9" s="31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>
      <c r="A10" s="34"/>
      <c r="H10" s="32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4">
      <c r="H11" s="33"/>
    </row>
  </sheetData>
  <autoFilter ref="A1:X1" xr:uid="{BABE1705-A8C8-4390-8782-A3DF9B073CC1}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A123B-9190-4C0B-8948-97DB4AEAA108}">
  <dimension ref="A1:X16"/>
  <sheetViews>
    <sheetView workbookViewId="0">
      <selection activeCell="C1" sqref="C1"/>
    </sheetView>
  </sheetViews>
  <sheetFormatPr defaultRowHeight="15"/>
  <cols>
    <col min="1" max="1" width="16.7109375" customWidth="1"/>
    <col min="2" max="2" width="8.5703125" customWidth="1"/>
    <col min="3" max="3" width="7.7109375" customWidth="1"/>
    <col min="4" max="4" width="12.85546875" customWidth="1"/>
    <col min="5" max="5" width="5.42578125" customWidth="1"/>
    <col min="6" max="6" width="14.42578125" customWidth="1"/>
    <col min="7" max="7" width="10.7109375" bestFit="1" customWidth="1"/>
    <col min="8" max="9" width="12.42578125" customWidth="1"/>
    <col min="10" max="10" width="10.7109375" bestFit="1" customWidth="1"/>
    <col min="11" max="11" width="25.5703125" customWidth="1"/>
    <col min="12" max="12" width="11.140625" customWidth="1"/>
  </cols>
  <sheetData>
    <row r="1" spans="1:24" ht="47.25" customHeight="1">
      <c r="A1" s="1" t="s">
        <v>57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8" t="s">
        <v>7</v>
      </c>
      <c r="I1" s="2" t="s">
        <v>8</v>
      </c>
      <c r="J1" s="2" t="s">
        <v>9</v>
      </c>
      <c r="K1" s="3" t="s">
        <v>10</v>
      </c>
      <c r="L1" s="4" t="s">
        <v>11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s="10" customFormat="1" ht="126" customHeight="1">
      <c r="A2" s="14" t="s">
        <v>12</v>
      </c>
      <c r="B2" s="14"/>
      <c r="C2" s="14">
        <v>145</v>
      </c>
      <c r="D2" s="14" t="s">
        <v>77</v>
      </c>
      <c r="E2" s="14">
        <v>1</v>
      </c>
      <c r="F2" s="14" t="s">
        <v>16</v>
      </c>
      <c r="G2" s="35">
        <v>1700</v>
      </c>
      <c r="H2" s="35">
        <v>1700</v>
      </c>
      <c r="I2" s="15" t="s">
        <v>14</v>
      </c>
      <c r="J2" s="36">
        <v>46168</v>
      </c>
      <c r="K2" s="18" t="s">
        <v>66</v>
      </c>
    </row>
    <row r="3" spans="1:24" s="10" customFormat="1" ht="126" customHeight="1">
      <c r="A3" s="14" t="s">
        <v>12</v>
      </c>
      <c r="B3" s="14"/>
      <c r="C3" s="14">
        <v>145</v>
      </c>
      <c r="D3" s="14" t="s">
        <v>76</v>
      </c>
      <c r="E3" s="14">
        <v>1</v>
      </c>
      <c r="F3" s="14" t="s">
        <v>16</v>
      </c>
      <c r="G3" s="35">
        <v>1700</v>
      </c>
      <c r="H3" s="35">
        <v>1700</v>
      </c>
      <c r="I3" s="15" t="s">
        <v>14</v>
      </c>
      <c r="J3" s="36">
        <v>46167</v>
      </c>
      <c r="K3" s="18" t="s">
        <v>66</v>
      </c>
    </row>
    <row r="4" spans="1:24" s="10" customFormat="1" ht="100.5" customHeight="1">
      <c r="A4" s="14" t="s">
        <v>12</v>
      </c>
      <c r="B4" s="14"/>
      <c r="C4" s="14">
        <v>145</v>
      </c>
      <c r="D4" s="14" t="s">
        <v>75</v>
      </c>
      <c r="E4" s="14">
        <v>1</v>
      </c>
      <c r="F4" s="14" t="s">
        <v>16</v>
      </c>
      <c r="G4" s="35">
        <v>1700</v>
      </c>
      <c r="H4" s="35">
        <v>1700</v>
      </c>
      <c r="I4" s="15" t="s">
        <v>14</v>
      </c>
      <c r="J4" s="36">
        <v>46163</v>
      </c>
      <c r="K4" s="18" t="s">
        <v>66</v>
      </c>
    </row>
    <row r="5" spans="1:24" s="10" customFormat="1" ht="85.5" customHeight="1">
      <c r="A5" s="14" t="s">
        <v>12</v>
      </c>
      <c r="B5" s="14"/>
      <c r="C5" s="14">
        <v>145</v>
      </c>
      <c r="D5" s="14" t="s">
        <v>74</v>
      </c>
      <c r="E5" s="14">
        <v>1</v>
      </c>
      <c r="F5" s="14" t="s">
        <v>16</v>
      </c>
      <c r="G5" s="35">
        <v>1700</v>
      </c>
      <c r="H5" s="35">
        <v>1700</v>
      </c>
      <c r="I5" s="15" t="s">
        <v>14</v>
      </c>
      <c r="J5" s="36">
        <v>46160</v>
      </c>
      <c r="K5" s="18" t="s">
        <v>66</v>
      </c>
    </row>
    <row r="6" spans="1:24" s="10" customFormat="1" ht="85.5" customHeight="1">
      <c r="A6" s="14" t="s">
        <v>12</v>
      </c>
      <c r="B6" s="14"/>
      <c r="C6" s="14">
        <v>145</v>
      </c>
      <c r="D6" s="14" t="s">
        <v>73</v>
      </c>
      <c r="E6" s="14">
        <v>1</v>
      </c>
      <c r="F6" s="14" t="s">
        <v>16</v>
      </c>
      <c r="G6" s="35">
        <v>1700</v>
      </c>
      <c r="H6" s="35">
        <v>1700</v>
      </c>
      <c r="I6" s="15" t="s">
        <v>14</v>
      </c>
      <c r="J6" s="36">
        <v>46148</v>
      </c>
      <c r="K6" s="18" t="s">
        <v>17</v>
      </c>
    </row>
    <row r="7" spans="1:24" s="10" customFormat="1" ht="126" customHeight="1">
      <c r="A7" s="14" t="s">
        <v>12</v>
      </c>
      <c r="B7" s="14" t="s">
        <v>44</v>
      </c>
      <c r="C7" s="14">
        <v>145</v>
      </c>
      <c r="D7" s="14" t="s">
        <v>58</v>
      </c>
      <c r="E7" s="14">
        <v>1</v>
      </c>
      <c r="F7" s="14" t="s">
        <v>16</v>
      </c>
      <c r="G7" s="35">
        <v>1700</v>
      </c>
      <c r="H7" s="35">
        <v>1700</v>
      </c>
      <c r="I7" s="15" t="s">
        <v>14</v>
      </c>
      <c r="J7" s="36">
        <v>46136</v>
      </c>
      <c r="K7" s="18" t="s">
        <v>17</v>
      </c>
    </row>
    <row r="8" spans="1:24" s="10" customFormat="1" ht="126" customHeight="1">
      <c r="A8" s="14" t="s">
        <v>12</v>
      </c>
      <c r="B8" s="14" t="s">
        <v>44</v>
      </c>
      <c r="C8" s="14">
        <v>145</v>
      </c>
      <c r="D8" s="14" t="s">
        <v>59</v>
      </c>
      <c r="E8" s="14">
        <v>3</v>
      </c>
      <c r="F8" s="14" t="s">
        <v>16</v>
      </c>
      <c r="G8" s="35">
        <v>1700</v>
      </c>
      <c r="H8" s="35">
        <v>5100</v>
      </c>
      <c r="I8" s="15" t="s">
        <v>14</v>
      </c>
      <c r="J8" s="36">
        <v>46080</v>
      </c>
      <c r="K8" s="18" t="s">
        <v>17</v>
      </c>
    </row>
    <row r="9" spans="1:24" s="10" customFormat="1" ht="100.5" customHeight="1">
      <c r="A9" s="11" t="s">
        <v>12</v>
      </c>
      <c r="B9" s="12" t="s">
        <v>13</v>
      </c>
      <c r="C9" s="13">
        <v>145</v>
      </c>
      <c r="D9" s="14" t="s">
        <v>60</v>
      </c>
      <c r="E9" s="13">
        <v>1</v>
      </c>
      <c r="F9" s="14" t="s">
        <v>16</v>
      </c>
      <c r="G9" s="15">
        <v>1700</v>
      </c>
      <c r="H9" s="16">
        <v>1700</v>
      </c>
      <c r="I9" s="15" t="s">
        <v>14</v>
      </c>
      <c r="J9" s="17">
        <v>45888</v>
      </c>
      <c r="K9" s="18" t="s">
        <v>17</v>
      </c>
      <c r="L9" s="19"/>
    </row>
    <row r="10" spans="1:24" s="10" customFormat="1" ht="85.5" customHeight="1">
      <c r="A10" s="11" t="s">
        <v>12</v>
      </c>
      <c r="B10" s="12" t="s">
        <v>13</v>
      </c>
      <c r="C10" s="13">
        <v>145</v>
      </c>
      <c r="D10" s="14" t="s">
        <v>61</v>
      </c>
      <c r="E10" s="13">
        <v>5</v>
      </c>
      <c r="F10" s="14" t="s">
        <v>16</v>
      </c>
      <c r="G10" s="15">
        <v>1700</v>
      </c>
      <c r="H10" s="16">
        <v>8500</v>
      </c>
      <c r="I10" s="15" t="s">
        <v>14</v>
      </c>
      <c r="J10" s="17">
        <v>45893</v>
      </c>
      <c r="K10" s="18" t="s">
        <v>17</v>
      </c>
      <c r="L10" s="19"/>
    </row>
    <row r="11" spans="1:24" s="10" customFormat="1" ht="85.5" customHeight="1">
      <c r="A11" s="11" t="s">
        <v>12</v>
      </c>
      <c r="B11" s="12" t="s">
        <v>13</v>
      </c>
      <c r="C11" s="13">
        <v>145</v>
      </c>
      <c r="D11" s="14" t="s">
        <v>62</v>
      </c>
      <c r="E11" s="13">
        <v>7</v>
      </c>
      <c r="F11" s="14" t="s">
        <v>16</v>
      </c>
      <c r="G11" s="15">
        <v>1700</v>
      </c>
      <c r="H11" s="16">
        <v>11900</v>
      </c>
      <c r="I11" s="15" t="s">
        <v>14</v>
      </c>
      <c r="J11" s="17">
        <v>45890</v>
      </c>
      <c r="K11" s="18" t="s">
        <v>17</v>
      </c>
      <c r="L11" s="19"/>
    </row>
    <row r="12" spans="1:24" s="10" customFormat="1" ht="85.5" customHeight="1">
      <c r="A12" s="11" t="s">
        <v>12</v>
      </c>
      <c r="B12" s="12" t="s">
        <v>13</v>
      </c>
      <c r="C12" s="13">
        <v>145</v>
      </c>
      <c r="D12" s="14" t="s">
        <v>63</v>
      </c>
      <c r="E12" s="13">
        <v>1</v>
      </c>
      <c r="F12" s="14" t="s">
        <v>16</v>
      </c>
      <c r="G12" s="15">
        <v>1700</v>
      </c>
      <c r="H12" s="16">
        <v>1700</v>
      </c>
      <c r="I12" s="15" t="s">
        <v>14</v>
      </c>
      <c r="J12" s="17">
        <v>45888</v>
      </c>
      <c r="K12" s="18" t="s">
        <v>17</v>
      </c>
      <c r="L12" s="19"/>
    </row>
    <row r="13" spans="1:24">
      <c r="A13" s="5"/>
      <c r="B13" s="5"/>
      <c r="C13" s="5"/>
      <c r="D13" s="5"/>
      <c r="E13" s="5"/>
      <c r="F13" s="5"/>
      <c r="G13" s="5"/>
      <c r="H13" s="30">
        <f>SUM(H2:H12)</f>
        <v>39100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>
      <c r="A14" s="5"/>
      <c r="B14" s="5"/>
      <c r="C14" s="5"/>
      <c r="D14" s="5"/>
      <c r="E14" s="5"/>
      <c r="F14" s="5"/>
      <c r="G14" s="5"/>
      <c r="H14" s="31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>
      <c r="A15" s="34"/>
      <c r="H15" s="32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4">
      <c r="H16" s="33"/>
    </row>
  </sheetData>
  <autoFilter ref="A1:X1" xr:uid="{BABE1705-A8C8-4390-8782-A3DF9B073CC1}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7D767-D6EA-489C-918F-44A567C83F4C}">
  <dimension ref="A1:X18"/>
  <sheetViews>
    <sheetView topLeftCell="A4" workbookViewId="0">
      <selection activeCell="D5" sqref="D5"/>
    </sheetView>
  </sheetViews>
  <sheetFormatPr defaultRowHeight="15"/>
  <cols>
    <col min="1" max="1" width="16.7109375" customWidth="1"/>
    <col min="2" max="2" width="8.5703125" customWidth="1"/>
    <col min="3" max="3" width="7.7109375" customWidth="1"/>
    <col min="4" max="4" width="12.85546875" customWidth="1"/>
    <col min="5" max="5" width="5.42578125" customWidth="1"/>
    <col min="6" max="6" width="14.42578125" customWidth="1"/>
    <col min="7" max="7" width="10.7109375" bestFit="1" customWidth="1"/>
    <col min="8" max="9" width="12.42578125" customWidth="1"/>
    <col min="10" max="10" width="10.7109375" bestFit="1" customWidth="1"/>
    <col min="11" max="11" width="25.5703125" customWidth="1"/>
    <col min="12" max="12" width="11.140625" customWidth="1"/>
  </cols>
  <sheetData>
    <row r="1" spans="1:24" ht="47.25" customHeight="1">
      <c r="A1" s="1" t="s">
        <v>57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8" t="s">
        <v>7</v>
      </c>
      <c r="I1" s="2" t="s">
        <v>8</v>
      </c>
      <c r="J1" s="2" t="s">
        <v>9</v>
      </c>
      <c r="K1" s="3" t="s">
        <v>10</v>
      </c>
      <c r="L1" s="4" t="s">
        <v>11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s="10" customFormat="1" ht="126" customHeight="1">
      <c r="A2" s="14" t="s">
        <v>12</v>
      </c>
      <c r="B2" s="14"/>
      <c r="C2" s="13">
        <v>200</v>
      </c>
      <c r="D2" s="14" t="s">
        <v>65</v>
      </c>
      <c r="E2" s="14">
        <v>2</v>
      </c>
      <c r="F2" s="14" t="s">
        <v>16</v>
      </c>
      <c r="G2" s="35">
        <v>1700</v>
      </c>
      <c r="H2" s="35">
        <v>3400</v>
      </c>
      <c r="I2" s="15" t="s">
        <v>14</v>
      </c>
      <c r="J2" s="36">
        <v>46203</v>
      </c>
      <c r="K2" s="18" t="s">
        <v>66</v>
      </c>
    </row>
    <row r="3" spans="1:24" s="10" customFormat="1" ht="126" customHeight="1">
      <c r="A3" s="14" t="s">
        <v>12</v>
      </c>
      <c r="B3" s="14"/>
      <c r="C3" s="13">
        <v>200</v>
      </c>
      <c r="D3" s="14" t="s">
        <v>64</v>
      </c>
      <c r="E3" s="14">
        <v>1</v>
      </c>
      <c r="F3" s="14" t="s">
        <v>16</v>
      </c>
      <c r="G3" s="35">
        <v>1700</v>
      </c>
      <c r="H3" s="35">
        <v>1700</v>
      </c>
      <c r="I3" s="15" t="s">
        <v>14</v>
      </c>
      <c r="J3" s="36">
        <v>46204</v>
      </c>
      <c r="K3" s="18" t="s">
        <v>66</v>
      </c>
    </row>
    <row r="4" spans="1:24" s="10" customFormat="1" ht="126" customHeight="1">
      <c r="A4" s="14" t="s">
        <v>12</v>
      </c>
      <c r="B4" s="14"/>
      <c r="C4" s="13">
        <v>200</v>
      </c>
      <c r="D4" s="14" t="s">
        <v>77</v>
      </c>
      <c r="E4" s="14">
        <v>1</v>
      </c>
      <c r="F4" s="14" t="s">
        <v>16</v>
      </c>
      <c r="G4" s="35">
        <v>1700</v>
      </c>
      <c r="H4" s="35">
        <v>1700</v>
      </c>
      <c r="I4" s="15" t="s">
        <v>14</v>
      </c>
      <c r="J4" s="36">
        <v>46168</v>
      </c>
      <c r="K4" s="18" t="s">
        <v>66</v>
      </c>
    </row>
    <row r="5" spans="1:24" s="10" customFormat="1" ht="126" customHeight="1">
      <c r="A5" s="14" t="s">
        <v>12</v>
      </c>
      <c r="B5" s="14"/>
      <c r="C5" s="13">
        <v>200</v>
      </c>
      <c r="D5" s="14" t="s">
        <v>76</v>
      </c>
      <c r="E5" s="14">
        <v>1</v>
      </c>
      <c r="F5" s="14" t="s">
        <v>16</v>
      </c>
      <c r="G5" s="35">
        <v>1700</v>
      </c>
      <c r="H5" s="35">
        <v>1700</v>
      </c>
      <c r="I5" s="15" t="s">
        <v>14</v>
      </c>
      <c r="J5" s="36">
        <v>46167</v>
      </c>
      <c r="K5" s="18" t="s">
        <v>66</v>
      </c>
    </row>
    <row r="6" spans="1:24" s="10" customFormat="1" ht="100.5" customHeight="1">
      <c r="A6" s="14" t="s">
        <v>12</v>
      </c>
      <c r="B6" s="14"/>
      <c r="C6" s="13">
        <v>200</v>
      </c>
      <c r="D6" s="14" t="s">
        <v>75</v>
      </c>
      <c r="E6" s="14">
        <v>1</v>
      </c>
      <c r="F6" s="14" t="s">
        <v>16</v>
      </c>
      <c r="G6" s="35">
        <v>1700</v>
      </c>
      <c r="H6" s="35">
        <v>1700</v>
      </c>
      <c r="I6" s="15" t="s">
        <v>14</v>
      </c>
      <c r="J6" s="36">
        <v>46163</v>
      </c>
      <c r="K6" s="18" t="s">
        <v>66</v>
      </c>
    </row>
    <row r="7" spans="1:24" s="10" customFormat="1" ht="85.5" customHeight="1">
      <c r="A7" s="14" t="s">
        <v>12</v>
      </c>
      <c r="B7" s="14"/>
      <c r="C7" s="13">
        <v>200</v>
      </c>
      <c r="D7" s="14" t="s">
        <v>74</v>
      </c>
      <c r="E7" s="14">
        <v>1</v>
      </c>
      <c r="F7" s="14" t="s">
        <v>16</v>
      </c>
      <c r="G7" s="35">
        <v>1700</v>
      </c>
      <c r="H7" s="35">
        <v>1700</v>
      </c>
      <c r="I7" s="15" t="s">
        <v>14</v>
      </c>
      <c r="J7" s="36">
        <v>46160</v>
      </c>
      <c r="K7" s="18" t="s">
        <v>66</v>
      </c>
    </row>
    <row r="8" spans="1:24" s="10" customFormat="1" ht="85.5" customHeight="1">
      <c r="A8" s="14" t="s">
        <v>12</v>
      </c>
      <c r="B8" s="14"/>
      <c r="C8" s="13">
        <v>200</v>
      </c>
      <c r="D8" s="14" t="s">
        <v>73</v>
      </c>
      <c r="E8" s="14">
        <v>1</v>
      </c>
      <c r="F8" s="14" t="s">
        <v>16</v>
      </c>
      <c r="G8" s="35">
        <v>1700</v>
      </c>
      <c r="H8" s="35">
        <v>1700</v>
      </c>
      <c r="I8" s="15" t="s">
        <v>14</v>
      </c>
      <c r="J8" s="36">
        <v>46148</v>
      </c>
      <c r="K8" s="18" t="s">
        <v>17</v>
      </c>
    </row>
    <row r="9" spans="1:24" s="10" customFormat="1" ht="85.5" customHeight="1">
      <c r="A9" s="14" t="s">
        <v>12</v>
      </c>
      <c r="B9" s="14"/>
      <c r="C9" s="13">
        <v>200</v>
      </c>
      <c r="D9" s="14" t="s">
        <v>72</v>
      </c>
      <c r="E9" s="14">
        <v>1</v>
      </c>
      <c r="F9" s="14" t="s">
        <v>16</v>
      </c>
      <c r="G9" s="35">
        <v>1700</v>
      </c>
      <c r="H9" s="35">
        <v>1700</v>
      </c>
      <c r="I9" s="15" t="s">
        <v>14</v>
      </c>
      <c r="J9" s="36">
        <v>46136</v>
      </c>
      <c r="K9" s="18" t="s">
        <v>66</v>
      </c>
    </row>
    <row r="10" spans="1:24" s="10" customFormat="1" ht="156">
      <c r="A10" s="14" t="s">
        <v>12</v>
      </c>
      <c r="B10" s="14"/>
      <c r="C10" s="14">
        <v>112</v>
      </c>
      <c r="D10" s="14" t="s">
        <v>71</v>
      </c>
      <c r="E10" s="14">
        <v>3</v>
      </c>
      <c r="F10" s="14" t="s">
        <v>16</v>
      </c>
      <c r="G10" s="35">
        <v>1700</v>
      </c>
      <c r="H10" s="35">
        <v>5100</v>
      </c>
      <c r="I10" s="15" t="s">
        <v>14</v>
      </c>
      <c r="J10" s="36">
        <v>46080</v>
      </c>
      <c r="K10" s="18" t="s">
        <v>66</v>
      </c>
    </row>
    <row r="11" spans="1:24" s="10" customFormat="1" ht="132">
      <c r="A11" s="11" t="s">
        <v>12</v>
      </c>
      <c r="B11" s="12" t="s">
        <v>13</v>
      </c>
      <c r="C11" s="13">
        <v>200</v>
      </c>
      <c r="D11" s="14" t="s">
        <v>70</v>
      </c>
      <c r="E11" s="13">
        <v>1</v>
      </c>
      <c r="F11" s="14" t="s">
        <v>16</v>
      </c>
      <c r="G11" s="15">
        <v>1700</v>
      </c>
      <c r="H11" s="16">
        <v>1700</v>
      </c>
      <c r="I11" s="15" t="s">
        <v>14</v>
      </c>
      <c r="J11" s="17">
        <v>45888</v>
      </c>
      <c r="K11" s="18" t="s">
        <v>17</v>
      </c>
      <c r="L11" s="19"/>
    </row>
    <row r="12" spans="1:24" s="10" customFormat="1" ht="132">
      <c r="A12" s="11" t="s">
        <v>12</v>
      </c>
      <c r="B12" s="12" t="s">
        <v>13</v>
      </c>
      <c r="C12" s="13">
        <v>200</v>
      </c>
      <c r="D12" s="14" t="s">
        <v>69</v>
      </c>
      <c r="E12" s="13">
        <v>5</v>
      </c>
      <c r="F12" s="14" t="s">
        <v>16</v>
      </c>
      <c r="G12" s="15">
        <v>1700</v>
      </c>
      <c r="H12" s="16">
        <v>8500</v>
      </c>
      <c r="I12" s="15" t="s">
        <v>14</v>
      </c>
      <c r="J12" s="17">
        <v>45893</v>
      </c>
      <c r="K12" s="18" t="s">
        <v>17</v>
      </c>
      <c r="L12" s="19"/>
    </row>
    <row r="13" spans="1:24" s="10" customFormat="1" ht="132">
      <c r="A13" s="11" t="s">
        <v>12</v>
      </c>
      <c r="B13" s="12" t="s">
        <v>13</v>
      </c>
      <c r="C13" s="13">
        <v>200</v>
      </c>
      <c r="D13" s="14" t="s">
        <v>68</v>
      </c>
      <c r="E13" s="13">
        <v>7</v>
      </c>
      <c r="F13" s="14" t="s">
        <v>16</v>
      </c>
      <c r="G13" s="15">
        <v>1700</v>
      </c>
      <c r="H13" s="16">
        <v>11900</v>
      </c>
      <c r="I13" s="15" t="s">
        <v>14</v>
      </c>
      <c r="J13" s="17">
        <v>45890</v>
      </c>
      <c r="K13" s="18" t="s">
        <v>17</v>
      </c>
      <c r="L13" s="19"/>
    </row>
    <row r="14" spans="1:24" s="10" customFormat="1" ht="132">
      <c r="A14" s="11" t="s">
        <v>12</v>
      </c>
      <c r="B14" s="12" t="s">
        <v>13</v>
      </c>
      <c r="C14" s="13">
        <v>200</v>
      </c>
      <c r="D14" s="14" t="s">
        <v>67</v>
      </c>
      <c r="E14" s="13">
        <v>1</v>
      </c>
      <c r="F14" s="14" t="s">
        <v>16</v>
      </c>
      <c r="G14" s="15">
        <v>1700</v>
      </c>
      <c r="H14" s="16">
        <v>1700</v>
      </c>
      <c r="I14" s="15" t="s">
        <v>14</v>
      </c>
      <c r="J14" s="17">
        <v>45888</v>
      </c>
      <c r="K14" s="18" t="s">
        <v>17</v>
      </c>
      <c r="L14" s="19"/>
    </row>
    <row r="15" spans="1:24">
      <c r="A15" s="5"/>
      <c r="B15" s="5"/>
      <c r="C15" s="5"/>
      <c r="D15" s="5"/>
      <c r="E15" s="5"/>
      <c r="F15" s="5"/>
      <c r="G15" s="5"/>
      <c r="H15" s="30">
        <f>SUM(H2:H14)</f>
        <v>44200</v>
      </c>
      <c r="I15" s="5"/>
      <c r="J15" s="5"/>
      <c r="K15" s="5"/>
      <c r="L15" s="5"/>
      <c r="M15" s="5"/>
    </row>
    <row r="16" spans="1:24">
      <c r="A16" s="5"/>
      <c r="B16" s="5"/>
      <c r="C16" s="5"/>
      <c r="D16" s="5"/>
      <c r="E16" s="5"/>
      <c r="F16" s="5"/>
      <c r="G16" s="5"/>
      <c r="H16" s="31"/>
      <c r="I16" s="5"/>
      <c r="J16" s="5"/>
      <c r="K16" s="5"/>
      <c r="L16" s="5"/>
      <c r="M16" s="5"/>
    </row>
    <row r="17" spans="1:8">
      <c r="A17" s="34"/>
      <c r="H17" s="32"/>
    </row>
    <row r="18" spans="1:8">
      <c r="H18" s="33"/>
    </row>
  </sheetData>
  <autoFilter ref="A1:X15" xr:uid="{BABE1705-A8C8-4390-8782-A3DF9B073CC1}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FC8C6-FABA-4BD2-88D7-7F7BA1F13C27}">
  <dimension ref="A1:X18"/>
  <sheetViews>
    <sheetView workbookViewId="0">
      <selection activeCell="A14" sqref="A14"/>
    </sheetView>
  </sheetViews>
  <sheetFormatPr defaultRowHeight="15"/>
  <cols>
    <col min="1" max="1" width="16.7109375" customWidth="1"/>
    <col min="2" max="2" width="6" customWidth="1"/>
    <col min="3" max="3" width="7.7109375" customWidth="1"/>
    <col min="4" max="4" width="12.85546875" customWidth="1"/>
    <col min="5" max="5" width="5.42578125" customWidth="1"/>
    <col min="6" max="6" width="14.42578125" customWidth="1"/>
    <col min="7" max="7" width="10.7109375" bestFit="1" customWidth="1"/>
    <col min="8" max="9" width="12.42578125" customWidth="1"/>
    <col min="10" max="10" width="10.7109375" bestFit="1" customWidth="1"/>
    <col min="11" max="11" width="25.5703125" customWidth="1"/>
    <col min="12" max="12" width="11.140625" customWidth="1"/>
  </cols>
  <sheetData>
    <row r="1" spans="1:24" ht="47.25" customHeight="1">
      <c r="A1" s="1" t="s">
        <v>57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8" t="s">
        <v>7</v>
      </c>
      <c r="I1" s="2" t="s">
        <v>8</v>
      </c>
      <c r="J1" s="2" t="s">
        <v>9</v>
      </c>
      <c r="K1" s="3" t="s">
        <v>10</v>
      </c>
      <c r="L1" s="4" t="s">
        <v>11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s="10" customFormat="1" ht="126" customHeight="1">
      <c r="A2" s="14" t="s">
        <v>12</v>
      </c>
      <c r="B2" s="14"/>
      <c r="C2" s="13">
        <v>215</v>
      </c>
      <c r="D2" s="14" t="s">
        <v>78</v>
      </c>
      <c r="E2" s="14">
        <v>2</v>
      </c>
      <c r="F2" s="14" t="s">
        <v>16</v>
      </c>
      <c r="G2" s="35">
        <v>1700</v>
      </c>
      <c r="H2" s="35">
        <v>3400</v>
      </c>
      <c r="I2" s="15" t="s">
        <v>14</v>
      </c>
      <c r="J2" s="36">
        <v>46203</v>
      </c>
      <c r="K2" s="18" t="s">
        <v>66</v>
      </c>
    </row>
    <row r="3" spans="1:24" s="10" customFormat="1" ht="126" customHeight="1">
      <c r="A3" s="14" t="s">
        <v>12</v>
      </c>
      <c r="B3" s="14"/>
      <c r="C3" s="13">
        <v>215</v>
      </c>
      <c r="D3" s="14" t="s">
        <v>79</v>
      </c>
      <c r="E3" s="14">
        <v>1</v>
      </c>
      <c r="F3" s="14" t="s">
        <v>16</v>
      </c>
      <c r="G3" s="35">
        <v>1700</v>
      </c>
      <c r="H3" s="35">
        <v>1700</v>
      </c>
      <c r="I3" s="15" t="s">
        <v>14</v>
      </c>
      <c r="J3" s="36">
        <v>46204</v>
      </c>
      <c r="K3" s="18" t="s">
        <v>66</v>
      </c>
    </row>
    <row r="4" spans="1:24" s="10" customFormat="1" ht="126" customHeight="1">
      <c r="A4" s="14" t="s">
        <v>12</v>
      </c>
      <c r="B4" s="14"/>
      <c r="C4" s="13">
        <v>215</v>
      </c>
      <c r="D4" s="14" t="s">
        <v>80</v>
      </c>
      <c r="E4" s="14">
        <v>1</v>
      </c>
      <c r="F4" s="14" t="s">
        <v>16</v>
      </c>
      <c r="G4" s="35">
        <v>1700</v>
      </c>
      <c r="H4" s="35">
        <v>1700</v>
      </c>
      <c r="I4" s="15" t="s">
        <v>14</v>
      </c>
      <c r="J4" s="36">
        <v>46168</v>
      </c>
      <c r="K4" s="18" t="s">
        <v>66</v>
      </c>
    </row>
    <row r="5" spans="1:24" s="10" customFormat="1" ht="126" customHeight="1">
      <c r="A5" s="14" t="s">
        <v>12</v>
      </c>
      <c r="B5" s="14"/>
      <c r="C5" s="13">
        <v>215</v>
      </c>
      <c r="D5" s="14" t="s">
        <v>81</v>
      </c>
      <c r="E5" s="14">
        <v>1</v>
      </c>
      <c r="F5" s="14" t="s">
        <v>16</v>
      </c>
      <c r="G5" s="35">
        <v>1700</v>
      </c>
      <c r="H5" s="35">
        <v>1700</v>
      </c>
      <c r="I5" s="15" t="s">
        <v>14</v>
      </c>
      <c r="J5" s="36">
        <v>46167</v>
      </c>
      <c r="K5" s="18" t="s">
        <v>66</v>
      </c>
    </row>
    <row r="6" spans="1:24" s="10" customFormat="1" ht="100.5" customHeight="1">
      <c r="A6" s="14" t="s">
        <v>12</v>
      </c>
      <c r="B6" s="14"/>
      <c r="C6" s="13">
        <v>215</v>
      </c>
      <c r="D6" s="14" t="s">
        <v>82</v>
      </c>
      <c r="E6" s="14">
        <v>1</v>
      </c>
      <c r="F6" s="14" t="s">
        <v>16</v>
      </c>
      <c r="G6" s="35">
        <v>1700</v>
      </c>
      <c r="H6" s="35">
        <v>1700</v>
      </c>
      <c r="I6" s="15" t="s">
        <v>14</v>
      </c>
      <c r="J6" s="36">
        <v>46163</v>
      </c>
      <c r="K6" s="18" t="s">
        <v>66</v>
      </c>
    </row>
    <row r="7" spans="1:24" s="10" customFormat="1" ht="85.5" customHeight="1">
      <c r="A7" s="14" t="s">
        <v>12</v>
      </c>
      <c r="B7" s="14"/>
      <c r="C7" s="13">
        <v>215</v>
      </c>
      <c r="D7" s="14" t="s">
        <v>83</v>
      </c>
      <c r="E7" s="14">
        <v>1</v>
      </c>
      <c r="F7" s="14" t="s">
        <v>16</v>
      </c>
      <c r="G7" s="35">
        <v>1700</v>
      </c>
      <c r="H7" s="35">
        <v>1700</v>
      </c>
      <c r="I7" s="15" t="s">
        <v>14</v>
      </c>
      <c r="J7" s="36">
        <v>46160</v>
      </c>
      <c r="K7" s="18" t="s">
        <v>66</v>
      </c>
    </row>
    <row r="8" spans="1:24" s="10" customFormat="1" ht="85.5" customHeight="1">
      <c r="A8" s="14" t="s">
        <v>12</v>
      </c>
      <c r="B8" s="14"/>
      <c r="C8" s="13">
        <v>215</v>
      </c>
      <c r="D8" s="14" t="s">
        <v>84</v>
      </c>
      <c r="E8" s="14">
        <v>1</v>
      </c>
      <c r="F8" s="14" t="s">
        <v>16</v>
      </c>
      <c r="G8" s="35">
        <v>1700</v>
      </c>
      <c r="H8" s="35">
        <v>1700</v>
      </c>
      <c r="I8" s="15" t="s">
        <v>14</v>
      </c>
      <c r="J8" s="36">
        <v>46148</v>
      </c>
      <c r="K8" s="18" t="s">
        <v>17</v>
      </c>
    </row>
    <row r="9" spans="1:24" s="10" customFormat="1" ht="85.5" customHeight="1">
      <c r="A9" s="14" t="s">
        <v>12</v>
      </c>
      <c r="B9" s="14"/>
      <c r="C9" s="13">
        <v>215</v>
      </c>
      <c r="D9" s="14" t="s">
        <v>85</v>
      </c>
      <c r="E9" s="14">
        <v>1</v>
      </c>
      <c r="F9" s="14" t="s">
        <v>16</v>
      </c>
      <c r="G9" s="35">
        <v>1700</v>
      </c>
      <c r="H9" s="35">
        <v>1700</v>
      </c>
      <c r="I9" s="15" t="s">
        <v>14</v>
      </c>
      <c r="J9" s="36">
        <v>46136</v>
      </c>
      <c r="K9" s="18" t="s">
        <v>66</v>
      </c>
    </row>
    <row r="10" spans="1:24" s="10" customFormat="1" ht="107.25" customHeight="1">
      <c r="A10" s="14" t="s">
        <v>12</v>
      </c>
      <c r="B10" s="14"/>
      <c r="C10" s="14">
        <v>215</v>
      </c>
      <c r="D10" s="14" t="s">
        <v>86</v>
      </c>
      <c r="E10" s="14">
        <v>3</v>
      </c>
      <c r="F10" s="14" t="s">
        <v>16</v>
      </c>
      <c r="G10" s="35">
        <v>1700</v>
      </c>
      <c r="H10" s="35">
        <v>5100</v>
      </c>
      <c r="I10" s="15" t="s">
        <v>14</v>
      </c>
      <c r="J10" s="36">
        <v>46080</v>
      </c>
      <c r="K10" s="18" t="s">
        <v>66</v>
      </c>
    </row>
    <row r="11" spans="1:24" s="10" customFormat="1" ht="132">
      <c r="A11" s="11" t="s">
        <v>12</v>
      </c>
      <c r="B11" s="12" t="s">
        <v>13</v>
      </c>
      <c r="C11" s="13">
        <v>215</v>
      </c>
      <c r="D11" s="14" t="s">
        <v>87</v>
      </c>
      <c r="E11" s="13">
        <v>1</v>
      </c>
      <c r="F11" s="14" t="s">
        <v>16</v>
      </c>
      <c r="G11" s="15">
        <v>1700</v>
      </c>
      <c r="H11" s="16">
        <v>1700</v>
      </c>
      <c r="I11" s="15" t="s">
        <v>14</v>
      </c>
      <c r="J11" s="17">
        <v>45888</v>
      </c>
      <c r="K11" s="18" t="s">
        <v>17</v>
      </c>
      <c r="L11" s="19"/>
    </row>
    <row r="12" spans="1:24" s="10" customFormat="1" ht="132">
      <c r="A12" s="11" t="s">
        <v>12</v>
      </c>
      <c r="B12" s="12" t="s">
        <v>13</v>
      </c>
      <c r="C12" s="13">
        <v>215</v>
      </c>
      <c r="D12" s="14" t="s">
        <v>88</v>
      </c>
      <c r="E12" s="13">
        <v>5</v>
      </c>
      <c r="F12" s="14" t="s">
        <v>16</v>
      </c>
      <c r="G12" s="15">
        <v>1700</v>
      </c>
      <c r="H12" s="16">
        <v>8500</v>
      </c>
      <c r="I12" s="15" t="s">
        <v>14</v>
      </c>
      <c r="J12" s="17">
        <v>45893</v>
      </c>
      <c r="K12" s="18" t="s">
        <v>17</v>
      </c>
      <c r="L12" s="19"/>
    </row>
    <row r="13" spans="1:24" s="10" customFormat="1" ht="132">
      <c r="A13" s="11" t="s">
        <v>12</v>
      </c>
      <c r="B13" s="12" t="s">
        <v>13</v>
      </c>
      <c r="C13" s="13">
        <v>215</v>
      </c>
      <c r="D13" s="14" t="s">
        <v>89</v>
      </c>
      <c r="E13" s="13">
        <v>7</v>
      </c>
      <c r="F13" s="14" t="s">
        <v>16</v>
      </c>
      <c r="G13" s="15">
        <v>1700</v>
      </c>
      <c r="H13" s="16">
        <v>11900</v>
      </c>
      <c r="I13" s="15" t="s">
        <v>14</v>
      </c>
      <c r="J13" s="17">
        <v>45890</v>
      </c>
      <c r="K13" s="18" t="s">
        <v>17</v>
      </c>
      <c r="L13" s="19"/>
    </row>
    <row r="14" spans="1:24" s="10" customFormat="1" ht="132">
      <c r="A14" s="11" t="s">
        <v>12</v>
      </c>
      <c r="B14" s="12" t="s">
        <v>13</v>
      </c>
      <c r="C14" s="13">
        <v>215</v>
      </c>
      <c r="D14" s="14" t="s">
        <v>90</v>
      </c>
      <c r="E14" s="13">
        <v>1</v>
      </c>
      <c r="F14" s="14" t="s">
        <v>16</v>
      </c>
      <c r="G14" s="15">
        <v>1700</v>
      </c>
      <c r="H14" s="16">
        <v>1700</v>
      </c>
      <c r="I14" s="15" t="s">
        <v>14</v>
      </c>
      <c r="J14" s="17">
        <v>45888</v>
      </c>
      <c r="K14" s="18" t="s">
        <v>17</v>
      </c>
      <c r="L14" s="19"/>
    </row>
    <row r="15" spans="1:24">
      <c r="A15" s="5"/>
      <c r="B15" s="5"/>
      <c r="C15" s="5"/>
      <c r="D15" s="5"/>
      <c r="E15" s="5"/>
      <c r="F15" s="5"/>
      <c r="G15" s="5"/>
      <c r="H15" s="30">
        <f>SUM(H2:H14)</f>
        <v>44200</v>
      </c>
      <c r="I15" s="5"/>
      <c r="J15" s="5"/>
      <c r="K15" s="5"/>
      <c r="L15" s="5"/>
      <c r="M15" s="5"/>
    </row>
    <row r="16" spans="1:24">
      <c r="A16" s="5"/>
      <c r="B16" s="5"/>
      <c r="C16" s="5"/>
      <c r="D16" s="5"/>
      <c r="E16" s="5"/>
      <c r="F16" s="5"/>
      <c r="G16" s="5"/>
      <c r="H16" s="31"/>
      <c r="I16" s="5"/>
      <c r="J16" s="5"/>
      <c r="K16" s="5"/>
      <c r="L16" s="5"/>
      <c r="M16" s="5"/>
    </row>
    <row r="17" spans="1:8">
      <c r="A17" s="34"/>
      <c r="H17" s="32"/>
    </row>
    <row r="18" spans="1:8">
      <c r="H18" s="33"/>
    </row>
  </sheetData>
  <autoFilter ref="A1:X15" xr:uid="{BABE1705-A8C8-4390-8782-A3DF9B073CC1}"/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E1705-A8C8-4390-8782-A3DF9B073CC1}">
  <dimension ref="A1:X19"/>
  <sheetViews>
    <sheetView tabSelected="1" workbookViewId="0">
      <selection activeCell="R4" sqref="R4"/>
    </sheetView>
  </sheetViews>
  <sheetFormatPr defaultRowHeight="15"/>
  <cols>
    <col min="1" max="1" width="16.7109375" customWidth="1"/>
    <col min="2" max="2" width="6" customWidth="1"/>
    <col min="3" max="3" width="7.7109375" customWidth="1"/>
    <col min="4" max="4" width="12.85546875" customWidth="1"/>
    <col min="5" max="5" width="5.42578125" customWidth="1"/>
    <col min="6" max="6" width="14.42578125" customWidth="1"/>
    <col min="7" max="7" width="10.7109375" bestFit="1" customWidth="1"/>
    <col min="8" max="9" width="12.42578125" customWidth="1"/>
    <col min="10" max="10" width="10.7109375" bestFit="1" customWidth="1"/>
    <col min="11" max="11" width="25.5703125" customWidth="1"/>
    <col min="12" max="12" width="11.140625" customWidth="1"/>
  </cols>
  <sheetData>
    <row r="1" spans="1:24" ht="47.25" customHeight="1">
      <c r="A1" s="1" t="s">
        <v>57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8" t="s">
        <v>7</v>
      </c>
      <c r="I1" s="2" t="s">
        <v>8</v>
      </c>
      <c r="J1" s="2" t="s">
        <v>9</v>
      </c>
      <c r="K1" s="3" t="s">
        <v>10</v>
      </c>
      <c r="L1" s="4" t="s">
        <v>11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s="5" customFormat="1" ht="126" customHeight="1">
      <c r="A2" s="37" t="s">
        <v>12</v>
      </c>
      <c r="B2" s="37"/>
      <c r="C2" s="38"/>
      <c r="D2" s="37" t="s">
        <v>104</v>
      </c>
      <c r="E2" s="37">
        <v>2</v>
      </c>
      <c r="F2" s="37" t="s">
        <v>16</v>
      </c>
      <c r="G2" s="39">
        <v>1700</v>
      </c>
      <c r="H2" s="39">
        <v>3400</v>
      </c>
      <c r="I2" s="40" t="s">
        <v>14</v>
      </c>
      <c r="J2" s="41">
        <v>46213</v>
      </c>
      <c r="K2" s="42" t="s">
        <v>66</v>
      </c>
    </row>
    <row r="3" spans="1:24" s="5" customFormat="1" ht="126" customHeight="1">
      <c r="A3" s="37" t="s">
        <v>12</v>
      </c>
      <c r="B3" s="37"/>
      <c r="C3" s="38">
        <v>215</v>
      </c>
      <c r="D3" s="37" t="s">
        <v>91</v>
      </c>
      <c r="E3" s="37">
        <v>2</v>
      </c>
      <c r="F3" s="37" t="s">
        <v>16</v>
      </c>
      <c r="G3" s="39">
        <v>1700</v>
      </c>
      <c r="H3" s="39">
        <v>3400</v>
      </c>
      <c r="I3" s="40" t="s">
        <v>14</v>
      </c>
      <c r="J3" s="41">
        <v>46203</v>
      </c>
      <c r="K3" s="42" t="s">
        <v>66</v>
      </c>
    </row>
    <row r="4" spans="1:24" s="5" customFormat="1" ht="126" customHeight="1">
      <c r="A4" s="37" t="s">
        <v>12</v>
      </c>
      <c r="B4" s="37"/>
      <c r="C4" s="38">
        <v>215</v>
      </c>
      <c r="D4" s="37" t="s">
        <v>92</v>
      </c>
      <c r="E4" s="37">
        <v>1</v>
      </c>
      <c r="F4" s="37" t="s">
        <v>16</v>
      </c>
      <c r="G4" s="39">
        <v>1700</v>
      </c>
      <c r="H4" s="39">
        <v>1700</v>
      </c>
      <c r="I4" s="40" t="s">
        <v>14</v>
      </c>
      <c r="J4" s="41">
        <v>46204</v>
      </c>
      <c r="K4" s="42" t="s">
        <v>66</v>
      </c>
    </row>
    <row r="5" spans="1:24" s="5" customFormat="1" ht="126" customHeight="1">
      <c r="A5" s="37" t="s">
        <v>12</v>
      </c>
      <c r="B5" s="37"/>
      <c r="C5" s="38">
        <v>215</v>
      </c>
      <c r="D5" s="37" t="s">
        <v>93</v>
      </c>
      <c r="E5" s="37">
        <v>1</v>
      </c>
      <c r="F5" s="37" t="s">
        <v>16</v>
      </c>
      <c r="G5" s="39">
        <v>1700</v>
      </c>
      <c r="H5" s="39">
        <v>1700</v>
      </c>
      <c r="I5" s="40" t="s">
        <v>14</v>
      </c>
      <c r="J5" s="41">
        <v>46168</v>
      </c>
      <c r="K5" s="42" t="s">
        <v>66</v>
      </c>
    </row>
    <row r="6" spans="1:24" s="5" customFormat="1" ht="126" customHeight="1">
      <c r="A6" s="37" t="s">
        <v>12</v>
      </c>
      <c r="B6" s="37"/>
      <c r="C6" s="38">
        <v>215</v>
      </c>
      <c r="D6" s="37" t="s">
        <v>94</v>
      </c>
      <c r="E6" s="37">
        <v>1</v>
      </c>
      <c r="F6" s="37" t="s">
        <v>16</v>
      </c>
      <c r="G6" s="39">
        <v>1700</v>
      </c>
      <c r="H6" s="39">
        <v>1700</v>
      </c>
      <c r="I6" s="40" t="s">
        <v>14</v>
      </c>
      <c r="J6" s="41">
        <v>46167</v>
      </c>
      <c r="K6" s="42" t="s">
        <v>66</v>
      </c>
    </row>
    <row r="7" spans="1:24" s="5" customFormat="1" ht="100.5" customHeight="1">
      <c r="A7" s="37" t="s">
        <v>12</v>
      </c>
      <c r="B7" s="37"/>
      <c r="C7" s="38">
        <v>215</v>
      </c>
      <c r="D7" s="37" t="s">
        <v>95</v>
      </c>
      <c r="E7" s="37">
        <v>1</v>
      </c>
      <c r="F7" s="37" t="s">
        <v>16</v>
      </c>
      <c r="G7" s="39">
        <v>1700</v>
      </c>
      <c r="H7" s="39">
        <v>1700</v>
      </c>
      <c r="I7" s="40" t="s">
        <v>14</v>
      </c>
      <c r="J7" s="41">
        <v>46163</v>
      </c>
      <c r="K7" s="42" t="s">
        <v>66</v>
      </c>
    </row>
    <row r="8" spans="1:24" s="5" customFormat="1" ht="85.5" customHeight="1">
      <c r="A8" s="37" t="s">
        <v>12</v>
      </c>
      <c r="B8" s="37"/>
      <c r="C8" s="38">
        <v>215</v>
      </c>
      <c r="D8" s="37" t="s">
        <v>96</v>
      </c>
      <c r="E8" s="37">
        <v>1</v>
      </c>
      <c r="F8" s="37" t="s">
        <v>16</v>
      </c>
      <c r="G8" s="39">
        <v>1700</v>
      </c>
      <c r="H8" s="39">
        <v>1700</v>
      </c>
      <c r="I8" s="40" t="s">
        <v>14</v>
      </c>
      <c r="J8" s="41">
        <v>46160</v>
      </c>
      <c r="K8" s="42" t="s">
        <v>66</v>
      </c>
    </row>
    <row r="9" spans="1:24" s="5" customFormat="1" ht="85.5" customHeight="1">
      <c r="A9" s="37" t="s">
        <v>12</v>
      </c>
      <c r="B9" s="37"/>
      <c r="C9" s="38">
        <v>215</v>
      </c>
      <c r="D9" s="37" t="s">
        <v>97</v>
      </c>
      <c r="E9" s="37">
        <v>1</v>
      </c>
      <c r="F9" s="37" t="s">
        <v>16</v>
      </c>
      <c r="G9" s="39">
        <v>1700</v>
      </c>
      <c r="H9" s="39">
        <v>1700</v>
      </c>
      <c r="I9" s="40" t="s">
        <v>14</v>
      </c>
      <c r="J9" s="41">
        <v>46148</v>
      </c>
      <c r="K9" s="42" t="s">
        <v>17</v>
      </c>
    </row>
    <row r="10" spans="1:24" s="5" customFormat="1" ht="85.5" customHeight="1">
      <c r="A10" s="37" t="s">
        <v>12</v>
      </c>
      <c r="B10" s="37"/>
      <c r="C10" s="38">
        <v>215</v>
      </c>
      <c r="D10" s="37" t="s">
        <v>98</v>
      </c>
      <c r="E10" s="37">
        <v>1</v>
      </c>
      <c r="F10" s="37" t="s">
        <v>16</v>
      </c>
      <c r="G10" s="39">
        <v>1700</v>
      </c>
      <c r="H10" s="39">
        <v>1700</v>
      </c>
      <c r="I10" s="40" t="s">
        <v>14</v>
      </c>
      <c r="J10" s="41">
        <v>46136</v>
      </c>
      <c r="K10" s="42" t="s">
        <v>66</v>
      </c>
    </row>
    <row r="11" spans="1:24" s="5" customFormat="1" ht="107.25" customHeight="1">
      <c r="A11" s="37" t="s">
        <v>12</v>
      </c>
      <c r="B11" s="37"/>
      <c r="C11" s="37">
        <v>215</v>
      </c>
      <c r="D11" s="37" t="s">
        <v>99</v>
      </c>
      <c r="E11" s="37">
        <v>3</v>
      </c>
      <c r="F11" s="37" t="s">
        <v>16</v>
      </c>
      <c r="G11" s="39">
        <v>1700</v>
      </c>
      <c r="H11" s="39">
        <v>5100</v>
      </c>
      <c r="I11" s="40" t="s">
        <v>14</v>
      </c>
      <c r="J11" s="41">
        <v>46080</v>
      </c>
      <c r="K11" s="42" t="s">
        <v>66</v>
      </c>
    </row>
    <row r="12" spans="1:24" s="5" customFormat="1" ht="132">
      <c r="A12" s="43" t="s">
        <v>12</v>
      </c>
      <c r="B12" s="44" t="s">
        <v>13</v>
      </c>
      <c r="C12" s="38">
        <v>215</v>
      </c>
      <c r="D12" s="37" t="s">
        <v>100</v>
      </c>
      <c r="E12" s="38">
        <v>1</v>
      </c>
      <c r="F12" s="37" t="s">
        <v>16</v>
      </c>
      <c r="G12" s="40">
        <v>1700</v>
      </c>
      <c r="H12" s="45">
        <v>1700</v>
      </c>
      <c r="I12" s="40" t="s">
        <v>14</v>
      </c>
      <c r="J12" s="46">
        <v>45888</v>
      </c>
      <c r="K12" s="42" t="s">
        <v>17</v>
      </c>
      <c r="L12" s="47"/>
    </row>
    <row r="13" spans="1:24" s="5" customFormat="1" ht="132">
      <c r="A13" s="43" t="s">
        <v>12</v>
      </c>
      <c r="B13" s="44" t="s">
        <v>13</v>
      </c>
      <c r="C13" s="38">
        <v>215</v>
      </c>
      <c r="D13" s="37" t="s">
        <v>101</v>
      </c>
      <c r="E13" s="38">
        <v>5</v>
      </c>
      <c r="F13" s="37" t="s">
        <v>16</v>
      </c>
      <c r="G13" s="40">
        <v>1700</v>
      </c>
      <c r="H13" s="45">
        <v>8500</v>
      </c>
      <c r="I13" s="40" t="s">
        <v>14</v>
      </c>
      <c r="J13" s="46">
        <v>45893</v>
      </c>
      <c r="K13" s="42" t="s">
        <v>17</v>
      </c>
      <c r="L13" s="47"/>
    </row>
    <row r="14" spans="1:24" s="5" customFormat="1" ht="132">
      <c r="A14" s="43" t="s">
        <v>12</v>
      </c>
      <c r="B14" s="44" t="s">
        <v>13</v>
      </c>
      <c r="C14" s="38">
        <v>215</v>
      </c>
      <c r="D14" s="37" t="s">
        <v>102</v>
      </c>
      <c r="E14" s="38">
        <v>7</v>
      </c>
      <c r="F14" s="37" t="s">
        <v>16</v>
      </c>
      <c r="G14" s="40">
        <v>1700</v>
      </c>
      <c r="H14" s="45">
        <v>11900</v>
      </c>
      <c r="I14" s="40" t="s">
        <v>14</v>
      </c>
      <c r="J14" s="46">
        <v>45890</v>
      </c>
      <c r="K14" s="42" t="s">
        <v>17</v>
      </c>
      <c r="L14" s="47"/>
    </row>
    <row r="15" spans="1:24" s="5" customFormat="1" ht="132">
      <c r="A15" s="43" t="s">
        <v>12</v>
      </c>
      <c r="B15" s="44" t="s">
        <v>13</v>
      </c>
      <c r="C15" s="38">
        <v>215</v>
      </c>
      <c r="D15" s="37" t="s">
        <v>103</v>
      </c>
      <c r="E15" s="38">
        <v>1</v>
      </c>
      <c r="F15" s="37" t="s">
        <v>16</v>
      </c>
      <c r="G15" s="40">
        <v>1700</v>
      </c>
      <c r="H15" s="45">
        <v>1700</v>
      </c>
      <c r="I15" s="40" t="s">
        <v>14</v>
      </c>
      <c r="J15" s="46">
        <v>45888</v>
      </c>
      <c r="K15" s="42" t="s">
        <v>17</v>
      </c>
      <c r="L15" s="47"/>
    </row>
    <row r="16" spans="1:24">
      <c r="A16" s="5"/>
      <c r="B16" s="5"/>
      <c r="C16" s="5"/>
      <c r="D16" s="5"/>
      <c r="E16" s="5"/>
      <c r="F16" s="5"/>
      <c r="G16" s="5"/>
      <c r="H16" s="30">
        <f>SUM(H2:H15)</f>
        <v>47600</v>
      </c>
      <c r="I16" s="5"/>
      <c r="J16" s="5"/>
      <c r="K16" s="5"/>
      <c r="L16" s="5"/>
      <c r="M16" s="5"/>
    </row>
    <row r="17" spans="1:13">
      <c r="A17" s="5"/>
      <c r="B17" s="5"/>
      <c r="C17" s="5"/>
      <c r="D17" s="5"/>
      <c r="E17" s="5"/>
      <c r="F17" s="5"/>
      <c r="G17" s="5"/>
      <c r="H17" s="31"/>
      <c r="I17" s="5"/>
      <c r="J17" s="5"/>
      <c r="K17" s="5"/>
      <c r="L17" s="5"/>
      <c r="M17" s="5"/>
    </row>
    <row r="18" spans="1:13">
      <c r="A18" s="34"/>
      <c r="H18" s="32"/>
    </row>
    <row r="19" spans="1:13">
      <c r="H19" s="33"/>
    </row>
  </sheetData>
  <autoFilter ref="A1:X16" xr:uid="{BABE1705-A8C8-4390-8782-A3DF9B073CC1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OUTUBRO 25</vt:lpstr>
      <vt:lpstr>NOVEMBRO 25 (2)</vt:lpstr>
      <vt:lpstr>DEZEMBRO 25 (2)</vt:lpstr>
      <vt:lpstr>JANEIRO 26</vt:lpstr>
      <vt:lpstr>FEVEREIRO 26 (2)</vt:lpstr>
      <vt:lpstr>MARÇO 26 (2)</vt:lpstr>
      <vt:lpstr>ABRIL 26 (2)</vt:lpstr>
      <vt:lpstr>MAIO 26 (3)</vt:lpstr>
      <vt:lpstr>JUNHO 26</vt:lpstr>
      <vt:lpstr>JULHO 26 (2)</vt:lpstr>
      <vt:lpstr>AGOSTO 26 (2)</vt:lpstr>
      <vt:lpstr>SETEMBRO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55319</dc:creator>
  <cp:lastModifiedBy>Tayna Ferraz</cp:lastModifiedBy>
  <cp:lastPrinted>2025-07-30T11:07:32Z</cp:lastPrinted>
  <dcterms:created xsi:type="dcterms:W3CDTF">2023-03-31T11:36:00Z</dcterms:created>
  <dcterms:modified xsi:type="dcterms:W3CDTF">2026-08-20T14:34:20Z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F39C7A597EE2419A920CD182957E7EAD_12</vt:lpwstr>
  </property>
  <property fmtid="{D5CDD505-2E9C-101B-9397-08002B2CF9AE}" pid="3" name="KSOProductBuildVer">
    <vt:lpwstr>1046-12.2.0.21546</vt:lpwstr>
  </property>
</Properties>
</file>