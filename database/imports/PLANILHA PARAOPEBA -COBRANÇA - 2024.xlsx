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V:\TAYNAAAAAAAAAAAA\COBRANÇA ATUALIZADA TAYNA\PARAOPEBA\"/>
    </mc:Choice>
  </mc:AlternateContent>
  <xr:revisionPtr revIDLastSave="0" documentId="13_ncr:1_{E48D439B-63B5-4D8C-958D-BC99B21443EA}" xr6:coauthVersionLast="47" xr6:coauthVersionMax="47" xr10:uidLastSave="{00000000-0000-0000-0000-000000000000}"/>
  <bookViews>
    <workbookView xWindow="-120" yWindow="-120" windowWidth="29040" windowHeight="15720" firstSheet="35" activeTab="41" xr2:uid="{00000000-000D-0000-FFFF-FFFF00000000}"/>
  </bookViews>
  <sheets>
    <sheet name="FEVEREIRO 23" sheetId="1" r:id="rId1"/>
    <sheet name="Sheet1" sheetId="6" r:id="rId2"/>
    <sheet name="MARÇO 23" sheetId="3" r:id="rId3"/>
    <sheet name="ABRIL 23" sheetId="2" r:id="rId4"/>
    <sheet name="MAIO 23" sheetId="5" r:id="rId5"/>
    <sheet name="JUNHO 23" sheetId="7" r:id="rId6"/>
    <sheet name="JULHO 23" sheetId="9" r:id="rId7"/>
    <sheet name="AGOSTO 23" sheetId="11" r:id="rId8"/>
    <sheet name="SETEMBRO 23" sheetId="13" r:id="rId9"/>
    <sheet name="OUTUBRO 23" sheetId="12" r:id="rId10"/>
    <sheet name="DEZEMBRO 23" sheetId="15" r:id="rId11"/>
    <sheet name="JANEIRO 2024" sheetId="19" r:id="rId12"/>
    <sheet name="FEVEREIRO 2024" sheetId="20" r:id="rId13"/>
    <sheet name="MARÇO 2024" sheetId="22" r:id="rId14"/>
    <sheet name="ABRIL 2024" sheetId="23" r:id="rId15"/>
    <sheet name="MAIO 2024" sheetId="26" r:id="rId16"/>
    <sheet name="JUNHO 24" sheetId="24" r:id="rId17"/>
    <sheet name="AGOSTO 24" sheetId="27" r:id="rId18"/>
    <sheet name="SETEMBRO 24" sheetId="28" r:id="rId19"/>
    <sheet name="OUTUBRO 24" sheetId="30" r:id="rId20"/>
    <sheet name="NOVEMBRO 24" sheetId="33" r:id="rId21"/>
    <sheet name="DEZEMBRO 24  " sheetId="35" r:id="rId22"/>
    <sheet name="JANEIRO 25" sheetId="34" r:id="rId23"/>
    <sheet name="FEVEREIRO 25" sheetId="36" r:id="rId24"/>
    <sheet name="MARÇO 25 " sheetId="37" r:id="rId25"/>
    <sheet name="ABRIL 25" sheetId="31" r:id="rId26"/>
    <sheet name="MAIO 25 " sheetId="40" r:id="rId27"/>
    <sheet name="JUNHO 25" sheetId="39" r:id="rId28"/>
    <sheet name="JULHO 25" sheetId="41" r:id="rId29"/>
    <sheet name="AGOSTO 25 (2)" sheetId="44" r:id="rId30"/>
    <sheet name="SETEMBRO 25" sheetId="43" r:id="rId31"/>
    <sheet name="OUTUBRO 25" sheetId="46" r:id="rId32"/>
    <sheet name="NOVEMBRO 25 (2)" sheetId="47" r:id="rId33"/>
    <sheet name="DEZEMBRO 25" sheetId="45" r:id="rId34"/>
    <sheet name="JANEIRO 26 (2)" sheetId="49" r:id="rId35"/>
    <sheet name="FEVEREIRO 26 (2)" sheetId="50" r:id="rId36"/>
    <sheet name="MARÇO 26 (2)" sheetId="52" r:id="rId37"/>
    <sheet name="ABRIL 26 (2)" sheetId="53" r:id="rId38"/>
    <sheet name="MAIO 26 (2)" sheetId="55" r:id="rId39"/>
    <sheet name="JUNHO 26 (2)" sheetId="56" r:id="rId40"/>
    <sheet name="JULHO 26 (2)" sheetId="57" r:id="rId41"/>
    <sheet name="AGOSTO 26" sheetId="48" r:id="rId42"/>
    <sheet name="Planilha1" sheetId="42" r:id="rId43"/>
  </sheets>
  <definedNames>
    <definedName name="_xlnm._FilterDatabase" localSheetId="14" hidden="1">'ABRIL 2024'!$A$1:$DD$22</definedName>
    <definedName name="_xlnm._FilterDatabase" localSheetId="3" hidden="1">'ABRIL 23'!$A$1:$DD$17</definedName>
    <definedName name="_xlnm._FilterDatabase" localSheetId="25" hidden="1">'ABRIL 25'!$A$1:$K$38</definedName>
    <definedName name="_xlnm._FilterDatabase" localSheetId="37" hidden="1">'ABRIL 26 (2)'!$A$1:$X$20</definedName>
    <definedName name="_xlnm._FilterDatabase" localSheetId="7" hidden="1">'AGOSTO 23'!$A$1:$DD$26</definedName>
    <definedName name="_xlnm._FilterDatabase" localSheetId="17" hidden="1">'AGOSTO 24'!$A$1:$DD$32</definedName>
    <definedName name="_xlnm._FilterDatabase" localSheetId="29" hidden="1">'AGOSTO 25 (2)'!$A$1:$L$21</definedName>
    <definedName name="_xlnm._FilterDatabase" localSheetId="41" hidden="1">'AGOSTO 26'!$A$1:$X$19</definedName>
    <definedName name="_xlnm._FilterDatabase" localSheetId="10" hidden="1">'DEZEMBRO 23'!$A$1:$DD$37</definedName>
    <definedName name="_xlnm._FilterDatabase" localSheetId="21" hidden="1">'DEZEMBRO 24  '!$A$1:$K$17</definedName>
    <definedName name="_xlnm._FilterDatabase" localSheetId="33" hidden="1">'DEZEMBRO 25'!$A$1:$T$18</definedName>
    <definedName name="_xlnm._FilterDatabase" localSheetId="12" hidden="1">'FEVEREIRO 2024'!$A$1:$DD$24</definedName>
    <definedName name="_xlnm._FilterDatabase" localSheetId="23" hidden="1">'FEVEREIRO 25'!$A$1:$L$19</definedName>
    <definedName name="_xlnm._FilterDatabase" localSheetId="35" hidden="1">'FEVEREIRO 26 (2)'!$A$1:$X$19</definedName>
    <definedName name="_xlnm._FilterDatabase" localSheetId="11" hidden="1">'JANEIRO 2024'!$A$1:$DD$28</definedName>
    <definedName name="_xlnm._FilterDatabase" localSheetId="22" hidden="1">'JANEIRO 25'!$A$1:$K$17</definedName>
    <definedName name="_xlnm._FilterDatabase" localSheetId="34" hidden="1">'JANEIRO 26 (2)'!$A$1:$X$18</definedName>
    <definedName name="_xlnm._FilterDatabase" localSheetId="6" hidden="1">'JULHO 23'!$A$1:$DD$25</definedName>
    <definedName name="_xlnm._FilterDatabase" localSheetId="28" hidden="1">'JULHO 25'!$A$1:$L$16</definedName>
    <definedName name="_xlnm._FilterDatabase" localSheetId="40" hidden="1">'JULHO 26 (2)'!$A$1:$X$21</definedName>
    <definedName name="_xlnm._FilterDatabase" localSheetId="5" hidden="1">'JUNHO 23'!$A$1:$DD$21</definedName>
    <definedName name="_xlnm._FilterDatabase" localSheetId="16" hidden="1">'JUNHO 24'!$A$1:$DD$30</definedName>
    <definedName name="_xlnm._FilterDatabase" localSheetId="27" hidden="1">'JUNHO 25'!$A$1:$K$31</definedName>
    <definedName name="_xlnm._FilterDatabase" localSheetId="39" hidden="1">'JUNHO 26 (2)'!$A$1:$X$23</definedName>
    <definedName name="_xlnm._FilterDatabase" localSheetId="15" hidden="1">'MAIO 2024'!$A$1:$DD$26</definedName>
    <definedName name="_xlnm._FilterDatabase" localSheetId="4" hidden="1">'MAIO 23'!$A$1:$DD$17</definedName>
    <definedName name="_xlnm._FilterDatabase" localSheetId="26" hidden="1">'MAIO 25 '!$A$1:$K$31</definedName>
    <definedName name="_xlnm._FilterDatabase" localSheetId="38" hidden="1">'MAIO 26 (2)'!$A$1:$X$20</definedName>
    <definedName name="_xlnm._FilterDatabase" localSheetId="13" hidden="1">'MARÇO 2024'!$A$1:$DD$22</definedName>
    <definedName name="_xlnm._FilterDatabase" localSheetId="24" hidden="1">'MARÇO 25 '!$A$1:$K$19</definedName>
    <definedName name="_xlnm._FilterDatabase" localSheetId="36" hidden="1">'MARÇO 26 (2)'!$A$1:$X$20</definedName>
    <definedName name="_xlnm._FilterDatabase" localSheetId="20" hidden="1">'NOVEMBRO 24'!$A$1:$K$17</definedName>
    <definedName name="_xlnm._FilterDatabase" localSheetId="32" hidden="1">'NOVEMBRO 25 (2)'!$A$1:$T$19</definedName>
    <definedName name="_xlnm._FilterDatabase" localSheetId="9" hidden="1">'OUTUBRO 23'!$A$1:$DD$30</definedName>
    <definedName name="_xlnm._FilterDatabase" localSheetId="19" hidden="1">'OUTUBRO 24'!$A$1:$DD$28</definedName>
    <definedName name="_xlnm._FilterDatabase" localSheetId="31" hidden="1">'OUTUBRO 25'!$A$1:$L$20</definedName>
    <definedName name="_xlnm._FilterDatabase" localSheetId="42" hidden="1">Planilha1!$A$1:$H$25</definedName>
    <definedName name="_xlnm._FilterDatabase" localSheetId="8" hidden="1">'SETEMBRO 23'!$A$1:$DD$28</definedName>
    <definedName name="_xlnm._FilterDatabase" localSheetId="18" hidden="1">'SETEMBRO 24'!$A$1:$DD$31</definedName>
    <definedName name="_xlnm._FilterDatabase" localSheetId="30" hidden="1">'SETEMBRO 25'!$A$1:$L$23</definedName>
  </definedNames>
  <calcPr calcId="181029"/>
</workbook>
</file>

<file path=xl/calcChain.xml><?xml version="1.0" encoding="utf-8"?>
<calcChain xmlns="http://schemas.openxmlformats.org/spreadsheetml/2006/main">
  <c r="H19" i="48" l="1"/>
  <c r="H21" i="57"/>
  <c r="H23" i="56"/>
  <c r="H20" i="55" l="1"/>
  <c r="H20" i="53"/>
  <c r="H20" i="52" l="1"/>
  <c r="H19" i="50" l="1"/>
  <c r="H18" i="49" l="1"/>
  <c r="H18" i="45" l="1"/>
  <c r="H19" i="47"/>
  <c r="O17" i="45" l="1"/>
  <c r="O18" i="47"/>
  <c r="H20" i="46"/>
  <c r="H23" i="43" l="1"/>
  <c r="E21" i="44" l="1"/>
  <c r="H21" i="44"/>
  <c r="T6" i="43" l="1"/>
  <c r="Q6" i="43"/>
  <c r="B25" i="42"/>
  <c r="H16" i="41" l="1"/>
  <c r="E16" i="41"/>
  <c r="E31" i="39" l="1"/>
  <c r="H31" i="39"/>
  <c r="H31" i="40"/>
  <c r="H1048562" i="39" l="1"/>
  <c r="H1048576" i="39" s="1"/>
  <c r="H1048562" i="40"/>
  <c r="H1048567" i="31"/>
  <c r="H1048565" i="31"/>
  <c r="H1048527" i="31"/>
  <c r="H38" i="31"/>
  <c r="H20" i="37"/>
  <c r="H1048559" i="37" s="1"/>
  <c r="H19" i="36"/>
  <c r="E19" i="36"/>
  <c r="H18" i="36"/>
  <c r="H19" i="34"/>
  <c r="E19" i="34"/>
  <c r="H19" i="35"/>
  <c r="E19" i="35"/>
  <c r="H19" i="33"/>
  <c r="E19" i="33"/>
  <c r="G28" i="30"/>
  <c r="E28" i="30"/>
  <c r="G31" i="28"/>
  <c r="E31" i="28"/>
  <c r="G32" i="27"/>
  <c r="E32" i="27"/>
  <c r="G30" i="24"/>
  <c r="E30" i="24"/>
  <c r="G26" i="26"/>
  <c r="E26" i="26"/>
  <c r="G22" i="23"/>
  <c r="E22" i="23"/>
  <c r="G22" i="22"/>
  <c r="E22" i="22"/>
  <c r="G24" i="20"/>
  <c r="E24" i="20"/>
  <c r="G28" i="19"/>
  <c r="G37" i="15"/>
  <c r="G30" i="12"/>
  <c r="G25" i="9"/>
  <c r="G21" i="7"/>
</calcChain>
</file>

<file path=xl/sharedStrings.xml><?xml version="1.0" encoding="utf-8"?>
<sst xmlns="http://schemas.openxmlformats.org/spreadsheetml/2006/main" count="5503" uniqueCount="1693">
  <si>
    <t>EMPRESA</t>
  </si>
  <si>
    <t>OBSERVAÇÃO</t>
  </si>
  <si>
    <t>N° NF</t>
  </si>
  <si>
    <t>PERÍODO</t>
  </si>
  <si>
    <t>QTD DE PÇ</t>
  </si>
  <si>
    <t>ENDEREÇO DA OBRA</t>
  </si>
  <si>
    <t>VALOR</t>
  </si>
  <si>
    <t>VENCIMENTO</t>
  </si>
  <si>
    <t>TIPO DE SANITÁRIO</t>
  </si>
  <si>
    <t>QTD DE LIMPEZA</t>
  </si>
  <si>
    <t>DATA DA ENTREGA</t>
  </si>
  <si>
    <t>DATA RECOLHIM</t>
  </si>
  <si>
    <t>DADOS CADASTRAIS</t>
  </si>
  <si>
    <t>CONSTRUTORA DRAGAGEM PARAOPEBA LTDA</t>
  </si>
  <si>
    <t>001343.</t>
  </si>
  <si>
    <t>08/01/2023      07/02/2023</t>
  </si>
  <si>
    <r>
      <rPr>
        <b/>
        <sz val="11"/>
        <color rgb="FFFF0000"/>
        <rFont val="Calibri"/>
        <family val="2"/>
        <scheme val="minor"/>
      </rPr>
      <t xml:space="preserve">OC: 632-56    </t>
    </r>
    <r>
      <rPr>
        <b/>
        <sz val="11"/>
        <color theme="1"/>
        <rFont val="Calibri"/>
        <family val="2"/>
        <scheme val="minor"/>
      </rPr>
      <t xml:space="preserve">                        JUSTINOPÓLIS , RIBEIRÃO DAS NEVES, RUA WALTER DIAS RIBEIRO, Nº 40.</t>
    </r>
  </si>
  <si>
    <t>COMUM</t>
  </si>
  <si>
    <r>
      <rPr>
        <b/>
        <sz val="11"/>
        <color theme="1"/>
        <rFont val="Calibri"/>
        <family val="2"/>
        <scheme val="minor"/>
      </rPr>
      <t xml:space="preserve">CONSTRUTORA DRAGAGEM PARAOPEBA LTDA, 18.322.925/0001-14,RODOVIA BR 040, KM 523.5, LOTE: A, B: GUANABARA, CONTAGEM-MG, CEP: 32.150.340. </t>
    </r>
    <r>
      <rPr>
        <b/>
        <sz val="11"/>
        <color rgb="FFFF0000"/>
        <rFont val="Calibri"/>
        <family val="2"/>
        <scheme val="minor"/>
      </rPr>
      <t xml:space="preserve">SOLICITADO PELO ALEXANDRE              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  STEPHANNE: 97180-4294 / 3394-6347.                                                  (SONIA FINANCEIRO) compras@grupoparaopeba.com.br
 administrativo4@grupoparaopeba.com.br
compras02@grupoparaopeba.com.br
administrativo@grupoparaopeba.com.br
administrativo3@grupoparaopeba.com.br
helmut@grupoparaopeba.com.br</t>
    </r>
  </si>
  <si>
    <t>001345.</t>
  </si>
  <si>
    <t>02/12/2023      01/01/2023</t>
  </si>
  <si>
    <t>CONDOMINIO VALE DO SOL.</t>
  </si>
  <si>
    <r>
      <rPr>
        <b/>
        <sz val="11"/>
        <color theme="1"/>
        <rFont val="Calibri"/>
        <family val="2"/>
        <scheme val="minor"/>
      </rPr>
      <t xml:space="preserve">CONSTRUTORA DRAGAGEM PARAOPEBA LTDA, 18.322.925/0001-14,RODOVIA BR 040, KM 523.5, LOTE: A, B: GUANABARA, CONTAGEM-MG, CEP: 32.150.340. </t>
    </r>
    <r>
      <rPr>
        <b/>
        <sz val="11"/>
        <color rgb="FFFF0000"/>
        <rFont val="Calibri"/>
        <family val="2"/>
        <scheme val="minor"/>
      </rPr>
      <t xml:space="preserve">SOLICITADO PELA SÔNIA.            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  STEPHANNE: 97180-4294 / 3394-6347.                                                  (SONIA FINANCEIRO) compras@grupoparaopeba.com.br
 administrativo4@grupoparaopeba.com.br
compras02@grupoparaopeba.com.br
administrativo@grupoparaopeba.com.br
administrativo3@grupoparaopeba.com.br
helmut@grupoparaopeba.com.br</t>
    </r>
  </si>
  <si>
    <t>001342.</t>
  </si>
  <si>
    <t>09/01/2023 08/02/2023</t>
  </si>
  <si>
    <r>
      <rPr>
        <b/>
        <sz val="11"/>
        <color rgb="FFFF0000"/>
        <rFont val="Calibri"/>
        <family val="2"/>
        <scheme val="minor"/>
      </rPr>
      <t xml:space="preserve">OBRA 334, SOLICITAÇÃO DO MAGNO.   </t>
    </r>
    <r>
      <rPr>
        <b/>
        <sz val="11"/>
        <color theme="1"/>
        <rFont val="Calibri"/>
        <family val="2"/>
        <scheme val="minor"/>
      </rPr>
      <t xml:space="preserve">                           LOCAL: PAPINE.</t>
    </r>
  </si>
  <si>
    <t>08/02/2023      07/03/2023</t>
  </si>
  <si>
    <t>02/01/2023      01/02/2023</t>
  </si>
  <si>
    <t>09/02/2023 08/03/2023</t>
  </si>
  <si>
    <t>ENTREGA 02/05/2023 RECOLHIDO 04/05</t>
  </si>
  <si>
    <t>001484.</t>
  </si>
  <si>
    <t>02/05/2023 Á 01/06/2023</t>
  </si>
  <si>
    <t>B: XANGRI-LÁ</t>
  </si>
  <si>
    <r>
      <rPr>
        <b/>
        <sz val="11"/>
        <color theme="1"/>
        <rFont val="Calibri"/>
        <family val="2"/>
        <scheme val="minor"/>
      </rPr>
      <t xml:space="preserve">CONSTRUTORA DRAGAGEM PARAOPEBA LTDA, 18.322.925/0001-14,RODOVIA BR 040, KM 523.5, LOTE: A, B: GUANABARA, CONTAGEM-MG, CEP: 32.150.340. </t>
    </r>
    <r>
      <rPr>
        <b/>
        <sz val="11"/>
        <color rgb="FFFF0000"/>
        <rFont val="Calibri"/>
        <family val="2"/>
        <scheme val="minor"/>
      </rPr>
      <t xml:space="preserve">           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  STEPHANNE: 97180-4294 / 3394-6347.                                                  (SONIA FINANCEIRO) compras@grupoparaopeba.com.br
 administrativo4@grupoparaopeba.com.br
compras02@grupoparaopeba.com.br
administrativo@grupoparaopeba.com.br
administrativo3@grupoparaopeba.com.br
helmut@grupoparaopeba.com.br</t>
    </r>
  </si>
  <si>
    <r>
      <rPr>
        <b/>
        <sz val="10"/>
        <color theme="7" tint="0.39994506668294322"/>
        <rFont val="Calibri"/>
        <family val="2"/>
        <scheme val="minor"/>
      </rPr>
      <t>RECOLHIMENTO 17/04 SOLICITADO PELO EDEVALDO</t>
    </r>
    <r>
      <rPr>
        <b/>
        <sz val="10"/>
        <color theme="1"/>
        <rFont val="Calibri"/>
        <family val="2"/>
        <scheme val="minor"/>
      </rPr>
      <t xml:space="preserve">                         AGUARDANDO FLAVIANO PASSAR O VALOR</t>
    </r>
  </si>
  <si>
    <t>001483.</t>
  </si>
  <si>
    <t>03/04/23 Á 02/05/2023</t>
  </si>
  <si>
    <t>MACACOS - MG</t>
  </si>
  <si>
    <t>RECOLHIDO 15/05/2023    ENTREGUE PELO FEBEM, LOCALIZAÇÃO NO WHATS.</t>
  </si>
  <si>
    <t>001475.</t>
  </si>
  <si>
    <t>17/04/2023 Á 16/05/2023</t>
  </si>
  <si>
    <t xml:space="preserve">BAIRRO JARAGUÁ. </t>
  </si>
  <si>
    <t>RECOLHIDO 08/05/2023 SOLICITADO PELO ALEXANDRE</t>
  </si>
  <si>
    <t>20/04/2023 Á 19/05/2023</t>
  </si>
  <si>
    <t>RUA IZABEL BUENO, B: PLANALTO</t>
  </si>
  <si>
    <t>SOLICITADO PELA SÔNIA</t>
  </si>
  <si>
    <t>001477.</t>
  </si>
  <si>
    <t>24/04/2023 Á 23/05/2023</t>
  </si>
  <si>
    <t>AV. GENERAL DAVID SARNOFF, 5543, CIDADE INDUSTRIAL,CONTAGEM.</t>
  </si>
  <si>
    <t>ENTREGUE 12/04</t>
  </si>
  <si>
    <t>001471.</t>
  </si>
  <si>
    <t>12/04/23 Á 11/05/2023</t>
  </si>
  <si>
    <t>B: OURO PRETO</t>
  </si>
  <si>
    <r>
      <rPr>
        <b/>
        <sz val="11"/>
        <color theme="1"/>
        <rFont val="Calibri"/>
        <family val="2"/>
        <scheme val="minor"/>
      </rPr>
      <t xml:space="preserve">CONSTRUTORA DRAGAGEM PARAOPEBA LTDA, 18.322.925/0001-14,RODOVIA BR 040, KM 523.5, LOTE: A, B: GUANABARA, CONTAGEM-MG, CEP: 32.150.340. </t>
    </r>
    <r>
      <rPr>
        <b/>
        <sz val="11"/>
        <color rgb="FFFF0000"/>
        <rFont val="Calibri"/>
        <family val="2"/>
        <scheme val="minor"/>
      </rPr>
      <t xml:space="preserve">SOLICITADO PELO ALEXANDRE.            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  STEPHANNE: 97180-4294 / 3394-6347.                                                  (SONIA FINANCEIRO) compras@grupoparaopeba.com.br
 administrativo4@grupoparaopeba.com.br
compras02@grupoparaopeba.com.br
administrativo@grupoparaopeba.com.br
administrativo3@grupoparaopeba.com.br
helmut@grupoparaopeba.com.br</t>
    </r>
  </si>
  <si>
    <t>RECOLHIDO 12/04</t>
  </si>
  <si>
    <t>001473.</t>
  </si>
  <si>
    <t>05/04/23 Á 04/05/2023</t>
  </si>
  <si>
    <t>RUA RECY SOUXA PAIVA, 185,ITAPOÃ, BH- MG.</t>
  </si>
  <si>
    <t>RECOLHER 05/04</t>
  </si>
  <si>
    <t>001474.</t>
  </si>
  <si>
    <t>31/03/23 Á 30/04/2023</t>
  </si>
  <si>
    <t xml:space="preserve">VENEZA - NEVES </t>
  </si>
  <si>
    <t>001478.</t>
  </si>
  <si>
    <t>14/04/2023      13/05/2023</t>
  </si>
  <si>
    <r>
      <rPr>
        <b/>
        <sz val="11"/>
        <color rgb="FFFF0000"/>
        <rFont val="Calibri"/>
        <family val="2"/>
        <scheme val="minor"/>
      </rPr>
      <t xml:space="preserve">SOLICITAÇÃO DA SÔNIA </t>
    </r>
    <r>
      <rPr>
        <b/>
        <sz val="11"/>
        <color theme="1"/>
        <rFont val="Calibri"/>
        <family val="2"/>
        <scheme val="minor"/>
      </rPr>
      <t>ENTREGUE NA SEDE DA PARAOPEBA</t>
    </r>
  </si>
  <si>
    <t>02/04/2023      01/05/2023</t>
  </si>
  <si>
    <t>NEVES</t>
  </si>
  <si>
    <t>09/04/2023 08/05/2023</t>
  </si>
  <si>
    <t>001479.</t>
  </si>
  <si>
    <t>08/04/2023      07/05/2023</t>
  </si>
  <si>
    <t>001536.</t>
  </si>
  <si>
    <t>01/05/2023      31/05/2023</t>
  </si>
  <si>
    <t xml:space="preserve"> RIBEIRÃO DAS NEVES </t>
  </si>
  <si>
    <t>CONSTRUTORA E DRAGAGEM PARAOPEBA LTDA</t>
  </si>
  <si>
    <t>001480.</t>
  </si>
  <si>
    <t>07/04/2023 06/05/2023</t>
  </si>
  <si>
    <t>SEDE PARAOPEBA BR 040. BANHEIRO DA FAZENDA</t>
  </si>
  <si>
    <t>REDE PÚLBLICA</t>
  </si>
  <si>
    <t>compras@grupoparaopeba.com.br
 compras@grupoparaopeba.com.br
administrativo@grupoparaopeba.com.br
administrativo3@grupoparaopeba.com.br
helmut@grupoparaopeba.com.br</t>
  </si>
  <si>
    <t>001481.</t>
  </si>
  <si>
    <t>001575.</t>
  </si>
  <si>
    <t>02/05/2023      01/06/2023</t>
  </si>
  <si>
    <t>001576.</t>
  </si>
  <si>
    <t>04/05/2023      03/06/2023</t>
  </si>
  <si>
    <t>001577.</t>
  </si>
  <si>
    <t>07/05/2023 06/06/2023</t>
  </si>
  <si>
    <t>001578.</t>
  </si>
  <si>
    <t>01/06/2023      30/06/2023</t>
  </si>
  <si>
    <t>001579.</t>
  </si>
  <si>
    <t>08/05/2023      07/06/2023</t>
  </si>
  <si>
    <t>001580.</t>
  </si>
  <si>
    <t>09/05/2023 08/06/2023</t>
  </si>
  <si>
    <t>001581.</t>
  </si>
  <si>
    <t>14/05/2023      13/06/2023</t>
  </si>
  <si>
    <t>24/05/2023 Á 23/06/2023</t>
  </si>
  <si>
    <t>RECOLHER 03/06/2023</t>
  </si>
  <si>
    <t>0001614.</t>
  </si>
  <si>
    <t>30/05/2023      29/06/2023</t>
  </si>
  <si>
    <t>RUA MAJOR MESSIAS MENEZES, B: BANDEIRANTES, BH, REGIONAL PAMPULHA.</t>
  </si>
  <si>
    <t xml:space="preserve">SOLICITADO PELO ALEXANDRE , </t>
  </si>
  <si>
    <t>001583.</t>
  </si>
  <si>
    <t>22/05/2023      21/06/2023</t>
  </si>
  <si>
    <t xml:space="preserve">AV. CESÁR AUGUSTO FARIAS SIMÕES, ENTRE OS NÚMEROS 1285 E 1201,   B:  RIACHO </t>
  </si>
  <si>
    <t xml:space="preserve">SOLICITADO PELA SÔNIA, </t>
  </si>
  <si>
    <t>001584.</t>
  </si>
  <si>
    <t>AV. FAUSTO RIBEIRO, BANDEIRINHAS, BETIM</t>
  </si>
  <si>
    <r>
      <rPr>
        <b/>
        <sz val="11"/>
        <color theme="7" tint="0.39994506668294322"/>
        <rFont val="Calibri"/>
        <family val="2"/>
        <scheme val="minor"/>
      </rPr>
      <t xml:space="preserve">SOLICITADO PELA SÔNIA, </t>
    </r>
    <r>
      <rPr>
        <b/>
        <sz val="11"/>
        <color theme="1"/>
        <rFont val="Calibri"/>
        <family val="2"/>
        <scheme val="minor"/>
      </rPr>
      <t>FRETE R$: 350,00</t>
    </r>
  </si>
  <si>
    <t>001585.</t>
  </si>
  <si>
    <t>20/05/2023      19/06/2023</t>
  </si>
  <si>
    <t>ALAMEDA SERRA DOS ORGÃOS, 100, ESTÂNCIA DEL REY, NOVA LIMA</t>
  </si>
  <si>
    <t>SOLICITADO PELA SÔNIA.                  ENTREGA 18/05/2023</t>
  </si>
  <si>
    <t>001586.</t>
  </si>
  <si>
    <t>18/05/2023 Á 17/06/2023</t>
  </si>
  <si>
    <t>PRAÇA JARDIM DE INFÂNCIA , 135, VALE DO SOL, NOVA LIMA</t>
  </si>
  <si>
    <t>SOLICITADO PELA SÔNIA.                  ENTREGA 03/05/2023</t>
  </si>
  <si>
    <t>001587.</t>
  </si>
  <si>
    <t>03/05/2023 Á 02/06/2023</t>
  </si>
  <si>
    <t>ALAMEDA DO UNIVERSO, VILE MONTAGNE, NOVA LIMA-MG.</t>
  </si>
  <si>
    <t>RECOLHER 10/05           SOLICITADO PELA EDEVALDO.                  ENTREGA 05/05/2023</t>
  </si>
  <si>
    <t>001588.</t>
  </si>
  <si>
    <t>05/05/2023 Á 04/06/2023</t>
  </si>
  <si>
    <t>CONJUNTO NOVA PAMPULHA, RUA QUATRO, 170.</t>
  </si>
  <si>
    <r>
      <rPr>
        <b/>
        <sz val="11"/>
        <color theme="1"/>
        <rFont val="Algerian"/>
        <family val="5"/>
      </rPr>
      <t xml:space="preserve">RECOLHER 28/06/23 </t>
    </r>
    <r>
      <rPr>
        <b/>
        <sz val="11"/>
        <color theme="1"/>
        <rFont val="Calibri"/>
        <family val="2"/>
        <scheme val="minor"/>
      </rPr>
      <t>SOLICITADO PELO EDVALDO</t>
    </r>
  </si>
  <si>
    <t>001696.</t>
  </si>
  <si>
    <t>23/06/2023      22/07/2023</t>
  </si>
  <si>
    <t>VIA EXPRESSA</t>
  </si>
  <si>
    <t>RECOLHER 15/08</t>
  </si>
  <si>
    <t>001697.</t>
  </si>
  <si>
    <t>22/06/2023      21/07/2023</t>
  </si>
  <si>
    <t>Rua Dr. Silvio Minecut, Belo Horizonte, B: Castelo, ao lado do número 175.</t>
  </si>
  <si>
    <t>RECOLHIMENTO 26/07</t>
  </si>
  <si>
    <t>001699.</t>
  </si>
  <si>
    <t>19/06/2023      18/07/2023</t>
  </si>
  <si>
    <r>
      <rPr>
        <b/>
        <sz val="11"/>
        <color rgb="FFFF0000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scheme val="minor"/>
      </rPr>
      <t>ENTREGUE NA SEDE DA PARAOPEBA</t>
    </r>
  </si>
  <si>
    <r>
      <rPr>
        <b/>
        <sz val="11"/>
        <color theme="7"/>
        <rFont val="Calibri"/>
        <family val="2"/>
        <scheme val="minor"/>
      </rPr>
      <t>RECOLHER 22/06</t>
    </r>
    <r>
      <rPr>
        <b/>
        <sz val="11"/>
        <color theme="1"/>
        <rFont val="Calibri"/>
        <family val="2"/>
        <scheme val="minor"/>
      </rPr>
      <t xml:space="preserve"> SOLICITAÇÃO SÔNIA</t>
    </r>
  </si>
  <si>
    <t>001698.</t>
  </si>
  <si>
    <t>14/06/2023      13/07/2023</t>
  </si>
  <si>
    <t>RUA IZABEL BUENO, B: SANTA ROSA OU JARAGUÁ, 788, BELO HORIZONTE.</t>
  </si>
  <si>
    <t>SOLICITAÇÃO ALEXANDRE</t>
  </si>
  <si>
    <t>001700.</t>
  </si>
  <si>
    <t>AV. CÉSAR AUGUSTO FARIA SIMÕES, 502-520, B: JARDIM RIACHO DAS PEDRAS, CONTAGEM.</t>
  </si>
  <si>
    <t>001701.</t>
  </si>
  <si>
    <t>02/06/2023      01/07/2023</t>
  </si>
  <si>
    <t>AVENIDA FAUSTO RIBEIRO DA SILVA, 900, BANDEIRINHAS, BETIM.</t>
  </si>
  <si>
    <t>001693.</t>
  </si>
  <si>
    <t>001703.</t>
  </si>
  <si>
    <t>04/06/2023      03/07/2023</t>
  </si>
  <si>
    <t xml:space="preserve"> </t>
  </si>
  <si>
    <t>001705.</t>
  </si>
  <si>
    <t>07/06/2023 06/07/2023</t>
  </si>
  <si>
    <t>001706.</t>
  </si>
  <si>
    <t>001704.</t>
  </si>
  <si>
    <t>08/06/2023      07/07/2023</t>
  </si>
  <si>
    <t>001707.</t>
  </si>
  <si>
    <t>09/06/2023 08/07/2023</t>
  </si>
  <si>
    <t>001710.</t>
  </si>
  <si>
    <t>001708.</t>
  </si>
  <si>
    <t>001709.</t>
  </si>
  <si>
    <t>24/06/2023 Á 23/07/2023</t>
  </si>
  <si>
    <r>
      <rPr>
        <b/>
        <sz val="11"/>
        <color theme="1"/>
        <rFont val="Algerian"/>
        <family val="5"/>
      </rPr>
      <t>RECOLHER 06/07</t>
    </r>
    <r>
      <rPr>
        <b/>
        <sz val="11"/>
        <color rgb="FFFF0000"/>
        <rFont val="Calibri"/>
        <family val="2"/>
        <scheme val="minor"/>
      </rPr>
      <t xml:space="preserve"> SOLICITADO PELO ALEXANDRE , </t>
    </r>
  </si>
  <si>
    <t>001711.</t>
  </si>
  <si>
    <t>001712.</t>
  </si>
  <si>
    <t>18/06/2023 Á 17/07/2023</t>
  </si>
  <si>
    <t>001714.</t>
  </si>
  <si>
    <t>03/06/2023 Á 02/07/2023</t>
  </si>
  <si>
    <t>TOTAL</t>
  </si>
  <si>
    <t>RECOLHER 31/07/23</t>
  </si>
  <si>
    <t>001824.</t>
  </si>
  <si>
    <t>Rua Francisco Bretas Bering, 280 - Copacabana, Belo Horizonte - MG, 31550-060</t>
  </si>
  <si>
    <t>001825.</t>
  </si>
  <si>
    <t>27/07/2023      26/08/2023</t>
  </si>
  <si>
    <t>Rua: Naiade - B: vale do Sol / Nova Lima-MG
Referência:
BR -040 Km 555, atrás da Minas máquinas</t>
  </si>
  <si>
    <r>
      <rPr>
        <b/>
        <sz val="11"/>
        <color theme="1"/>
        <rFont val="Calibri"/>
        <family val="2"/>
        <scheme val="minor"/>
      </rPr>
      <t xml:space="preserve">CONSTRUTORA DRAGAGEM PARAOPEBA LTDA, 18.322.925/0001-14,RODOVIA BR 040, KM 523.5, LOTE: A, B: GUANABARA, CONTAGEM-MG, CEP: 32.150.340. </t>
    </r>
    <r>
      <rPr>
        <b/>
        <sz val="11"/>
        <color rgb="FFFF0000"/>
        <rFont val="Calibri"/>
        <family val="2"/>
        <scheme val="minor"/>
      </rPr>
      <t xml:space="preserve">SOLICITADO PELA SÔNIA.            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  STEPHANNE: 97180-4294 / 3394-6347.                                                                         (SONIA FINANCEIRO) compras@grupoparaopeba.com.br
 administrativo4@grupoparaopeba.com.br
compras02@grupoparaopeba.com.br
administrativo@grupoparaopeba.com.br
administrativo3@grupoparaopeba.com.br
helmut@grupoparaopeba.com.br</t>
    </r>
  </si>
  <si>
    <t>001826.</t>
  </si>
  <si>
    <t>25/07/2023      24/08/2023</t>
  </si>
  <si>
    <t>Rua elias moysés, 300 - Bairro jardim atlantico</t>
  </si>
  <si>
    <t>001827.</t>
  </si>
  <si>
    <t>24/07/2023      23/08/2023</t>
  </si>
  <si>
    <t>RUA SEMA, 32, CONTAGEM.</t>
  </si>
  <si>
    <t>001828.</t>
  </si>
  <si>
    <t>AV RÉGULUS, 240, B: JARDIM RIACHO DAS PEDRAS , CONTAGEM.</t>
  </si>
  <si>
    <t>RECOLHER 17/07</t>
  </si>
  <si>
    <t>001830.</t>
  </si>
  <si>
    <t>12/07/2023      11/08/2023</t>
  </si>
  <si>
    <t>RUA GUANABARA, 30, BAIRRO URCA.</t>
  </si>
  <si>
    <t>001831.</t>
  </si>
  <si>
    <t>11/07/2023      10/08/2023</t>
  </si>
  <si>
    <t>SOLICITADO PELO SÔNIA</t>
  </si>
  <si>
    <t>001808.</t>
  </si>
  <si>
    <t>22/07/2023      21/08/2023</t>
  </si>
  <si>
    <t>001809.</t>
  </si>
  <si>
    <t>19/07/2023      18/08/2023</t>
  </si>
  <si>
    <t>001810.</t>
  </si>
  <si>
    <t>14/07/2023      13/08/2023</t>
  </si>
  <si>
    <t>001811.</t>
  </si>
  <si>
    <t>02/07/2023      01/08/2023</t>
  </si>
  <si>
    <t>001812.</t>
  </si>
  <si>
    <t>001813.</t>
  </si>
  <si>
    <t>04/07/2023      03/08/2023</t>
  </si>
  <si>
    <t>001814.</t>
  </si>
  <si>
    <t>07/07/2023 06/08/2023</t>
  </si>
  <si>
    <t>001815.</t>
  </si>
  <si>
    <t>01/08/2023      31/08/2023</t>
  </si>
  <si>
    <t>001816.</t>
  </si>
  <si>
    <t>08/07/2023      07/08/2023</t>
  </si>
  <si>
    <t>001717.</t>
  </si>
  <si>
    <t>09/07/2023 08/08/2023</t>
  </si>
  <si>
    <t>001818.</t>
  </si>
  <si>
    <t>001819.</t>
  </si>
  <si>
    <t>RECOLHIDO 03/08</t>
  </si>
  <si>
    <t>001820.</t>
  </si>
  <si>
    <t>24/07/2023 Á 23/08/2023</t>
  </si>
  <si>
    <t>001821.</t>
  </si>
  <si>
    <t>18/07/2023 Á 17/08/2023</t>
  </si>
  <si>
    <t>001822.</t>
  </si>
  <si>
    <t>03/07/2023 Á 02/08/2023</t>
  </si>
  <si>
    <t>Entrague 24/08/2023</t>
  </si>
  <si>
    <t>001948.</t>
  </si>
  <si>
    <t>24/08/2023 á 23/09/2023</t>
  </si>
  <si>
    <t>Justinopólis</t>
  </si>
  <si>
    <t>RECOLHIDO 22/08/23</t>
  </si>
  <si>
    <t>001949.</t>
  </si>
  <si>
    <t>ICAIVERA, RUA DEZESSETE, S/N.</t>
  </si>
  <si>
    <t>RECOLHER 11/09/23 ENTREGUE 18/08</t>
  </si>
  <si>
    <t>001950.</t>
  </si>
  <si>
    <t>18/08/2023 Á 17/09/2023</t>
  </si>
  <si>
    <t>RUA DR. SILVIO MENICICCI, 613, B: CASTELO.</t>
  </si>
  <si>
    <t>ENTREGUE 18/08</t>
  </si>
  <si>
    <t>001951.</t>
  </si>
  <si>
    <t>AV. CÉSAR AUGUSTO, B: JARDIM RIACHO, 551, CONTAGEM</t>
  </si>
  <si>
    <r>
      <rPr>
        <b/>
        <sz val="11"/>
        <color theme="7"/>
        <rFont val="Calibri"/>
        <family val="2"/>
        <scheme val="minor"/>
      </rPr>
      <t xml:space="preserve">RECOLHER 21/08 </t>
    </r>
    <r>
      <rPr>
        <b/>
        <sz val="11"/>
        <color theme="1"/>
        <rFont val="Calibri"/>
        <family val="2"/>
        <scheme val="minor"/>
      </rPr>
      <t>ENTREGUE 15/08</t>
    </r>
  </si>
  <si>
    <t>001952.</t>
  </si>
  <si>
    <t>15/08/2023 Á 14/09/2023</t>
  </si>
  <si>
    <t>AV. DOM PEDRO I, 402, B: ITAPOÃ.</t>
  </si>
  <si>
    <t>ENTREGUE 13/08</t>
  </si>
  <si>
    <t>001953.</t>
  </si>
  <si>
    <t>14/08/2023 Á 13/09/2023</t>
  </si>
  <si>
    <t xml:space="preserve"> Avenida Monte Vista, 555 , jardim Canadá - Nova Lima</t>
  </si>
  <si>
    <t>ENTREGUE 09/08</t>
  </si>
  <si>
    <t>001954.</t>
  </si>
  <si>
    <t>09/08/2023 Á 08/09/2023</t>
  </si>
  <si>
    <t>Avenida Mercurio - Vale do Sol - Nova Lima</t>
  </si>
  <si>
    <t>001955.</t>
  </si>
  <si>
    <t>Rua Titânia 374 - Vale do Sol, Nova Lima - MG, 34000-000 ( O da Av.. |Terra é esquina com a Titânio ) Considere av. Titanio</t>
  </si>
  <si>
    <t>001956.</t>
  </si>
  <si>
    <t>Av. Marte, 363 - Vale do Sol, Nova Lima - MG, 34000-000</t>
  </si>
  <si>
    <t>001957.</t>
  </si>
  <si>
    <t>27/08/2023      26/09/2023</t>
  </si>
  <si>
    <t>001958.</t>
  </si>
  <si>
    <t>25/08/2023      24/09/2023</t>
  </si>
  <si>
    <t>001959.</t>
  </si>
  <si>
    <t>24/08/2023      23/09/2023</t>
  </si>
  <si>
    <t>001960.</t>
  </si>
  <si>
    <t>001961.</t>
  </si>
  <si>
    <t>22/08/2023      21/09/2023</t>
  </si>
  <si>
    <t>001963.</t>
  </si>
  <si>
    <t>14/08/2023      13/09/2023</t>
  </si>
  <si>
    <t>001964.</t>
  </si>
  <si>
    <t>02/08/2023      01/09/2023</t>
  </si>
  <si>
    <t>001965.</t>
  </si>
  <si>
    <t>04/08/2023      03/09/2023</t>
  </si>
  <si>
    <t>001966.</t>
  </si>
  <si>
    <t>07/08/2023 06/09/2023</t>
  </si>
  <si>
    <t>001967.</t>
  </si>
  <si>
    <t>01/09/2023      31/09/2023</t>
  </si>
  <si>
    <t>001968.</t>
  </si>
  <si>
    <t>08/08/2023      07/09/2023</t>
  </si>
  <si>
    <t>001969.</t>
  </si>
  <si>
    <t>09/08/2023 08/09/2023</t>
  </si>
  <si>
    <t>001970.</t>
  </si>
  <si>
    <t>001971.</t>
  </si>
  <si>
    <t>03/08/2023 Á 02/09/2023</t>
  </si>
  <si>
    <r>
      <rPr>
        <b/>
        <sz val="11"/>
        <color theme="1"/>
        <rFont val="Calibri"/>
        <family val="2"/>
        <scheme val="minor"/>
      </rPr>
      <t xml:space="preserve">Entregue 14/09/2023 </t>
    </r>
    <r>
      <rPr>
        <b/>
        <sz val="11"/>
        <color theme="7" tint="0.59999389629810485"/>
        <rFont val="Calibri"/>
        <family val="2"/>
        <scheme val="minor"/>
      </rPr>
      <t>RECOLHER 22/09/2023</t>
    </r>
  </si>
  <si>
    <t>002056.</t>
  </si>
  <si>
    <t>13/09/2023 á 22/09/2023</t>
  </si>
  <si>
    <t>RODOVIA JOSÉ DA SILVA, 24 CHÁCARA BOM RETIRO, NOVA LIMA - MG, CEP: 34.000.000</t>
  </si>
  <si>
    <t>Entregue 15/09/2023</t>
  </si>
  <si>
    <t>002057.</t>
  </si>
  <si>
    <t>15/09/2023 á 14/10/2023</t>
  </si>
  <si>
    <t>BR 040</t>
  </si>
  <si>
    <t>ENTREGUE 19/09/2023</t>
  </si>
  <si>
    <t>002058.</t>
  </si>
  <si>
    <t>19/09/2023      18/10/2023</t>
  </si>
  <si>
    <t>Entregue 18/09/2023</t>
  </si>
  <si>
    <t>002059.</t>
  </si>
  <si>
    <t>18/09/2023 á 17/10/2023</t>
  </si>
  <si>
    <t xml:space="preserve"> Rua Dr. Sylvio Menicucci, 720 - Castelo, Belo Horizonte - MG</t>
  </si>
  <si>
    <t>002060.</t>
  </si>
  <si>
    <t>24/09/2023 á 23/10/2023</t>
  </si>
  <si>
    <t>18/09/2023 Á 17/10/2023</t>
  </si>
  <si>
    <t>002061.</t>
  </si>
  <si>
    <t>14/09/2023 Á 13/10/2023</t>
  </si>
  <si>
    <t>002064.</t>
  </si>
  <si>
    <t>09/09/2023 Á 08/10/2023</t>
  </si>
  <si>
    <t>002063.</t>
  </si>
  <si>
    <t>002065.</t>
  </si>
  <si>
    <t>27/09/2023      26/10/2023</t>
  </si>
  <si>
    <t>002066.</t>
  </si>
  <si>
    <t>25/09/2023      24/10/2023</t>
  </si>
  <si>
    <t>002067.</t>
  </si>
  <si>
    <t>24/09/2023      23/10/2023</t>
  </si>
  <si>
    <t xml:space="preserve">RECOLHIDO </t>
  </si>
  <si>
    <t>22/09/2023      21/10/2023</t>
  </si>
  <si>
    <t>002069.</t>
  </si>
  <si>
    <t>14/09/2023      13/10/2023</t>
  </si>
  <si>
    <t>002055.</t>
  </si>
  <si>
    <t>02/09/2023      01/10/2023</t>
  </si>
  <si>
    <t>Entregue 05/09/2023</t>
  </si>
  <si>
    <t>05/09/2023 á 04/10/2023</t>
  </si>
  <si>
    <t>AV. FAUSTO RIBEIRO DA SILVA, 70, BANDEIRINHAS, BETIM.</t>
  </si>
  <si>
    <t>RECOLHER 26/09</t>
  </si>
  <si>
    <t>002070.</t>
  </si>
  <si>
    <t>04/09/2023      03/10/2023</t>
  </si>
  <si>
    <t>002072.</t>
  </si>
  <si>
    <t>07/09/2023 06/10/2023</t>
  </si>
  <si>
    <t>002077.</t>
  </si>
  <si>
    <t>01/10/2023      31/10/2023</t>
  </si>
  <si>
    <t>002071.</t>
  </si>
  <si>
    <t>08/09/2023      07/10/2023</t>
  </si>
  <si>
    <t>002073.</t>
  </si>
  <si>
    <t>09/09/2023 08/10/2023</t>
  </si>
  <si>
    <t>002074.</t>
  </si>
  <si>
    <t>002076.</t>
  </si>
  <si>
    <t>03/09/2023 Á 02/10/2023</t>
  </si>
  <si>
    <t>Entregue 27/09/2023</t>
  </si>
  <si>
    <t>002197.</t>
  </si>
  <si>
    <t>27/09/2023 á 26/10/2023</t>
  </si>
  <si>
    <t>R. Petrópolis, 315 - Céu Azul, Ribeirão das Neves - MG, 31370-660</t>
  </si>
  <si>
    <t>Entregue 02/10/2023 SOLICITAÇÃO SONIA</t>
  </si>
  <si>
    <t>002198.</t>
  </si>
  <si>
    <t>02/10/2023 á 01/11/2023</t>
  </si>
  <si>
    <t xml:space="preserve">CASTELO </t>
  </si>
  <si>
    <t>002174.</t>
  </si>
  <si>
    <t>15/10/2023 á 14/11/2023</t>
  </si>
  <si>
    <t>002175.</t>
  </si>
  <si>
    <t>19/10/2023      18/11/2023</t>
  </si>
  <si>
    <t>002176.</t>
  </si>
  <si>
    <t>18/10/2023 á 17/11/2023</t>
  </si>
  <si>
    <t>002177.</t>
  </si>
  <si>
    <t>24/10/2023 á 23/11/2023</t>
  </si>
  <si>
    <t>002178.</t>
  </si>
  <si>
    <t>18/10/2023 Á 17/11/2023</t>
  </si>
  <si>
    <t>002179.</t>
  </si>
  <si>
    <t>14/10/2023 Á 13/11/2023</t>
  </si>
  <si>
    <t>002180.</t>
  </si>
  <si>
    <t>09/10/2023 Á 08/11/2023</t>
  </si>
  <si>
    <t>002181.</t>
  </si>
  <si>
    <t>002182.</t>
  </si>
  <si>
    <t>002183.</t>
  </si>
  <si>
    <t>27/10/2023      26/11/2023</t>
  </si>
  <si>
    <t>002184.</t>
  </si>
  <si>
    <t>25/10/2023      24/11/2023</t>
  </si>
  <si>
    <t>002185.</t>
  </si>
  <si>
    <t>24/10/2023      23/11/2023</t>
  </si>
  <si>
    <t>002186.</t>
  </si>
  <si>
    <t>002187.</t>
  </si>
  <si>
    <t>14/10/2023      13/11/2023</t>
  </si>
  <si>
    <t>002188.</t>
  </si>
  <si>
    <t>02/10/2023      01/11/2023</t>
  </si>
  <si>
    <t>05/10/2023 á 04/11/2023</t>
  </si>
  <si>
    <t>002189.</t>
  </si>
  <si>
    <t>04/10/2023      03/11/2023</t>
  </si>
  <si>
    <t>002190.</t>
  </si>
  <si>
    <t>07/10/2023 06/11/2023</t>
  </si>
  <si>
    <t>002191.</t>
  </si>
  <si>
    <t>01/10/2023      31/11/2023</t>
  </si>
  <si>
    <t>002192.</t>
  </si>
  <si>
    <t>08/10/2023      07/11/2023</t>
  </si>
  <si>
    <t>002193.</t>
  </si>
  <si>
    <t>09/10/2023 08/11/2023</t>
  </si>
  <si>
    <t>002194.</t>
  </si>
  <si>
    <t>002195.</t>
  </si>
  <si>
    <t>03/10/2023 Á 02/11/2023</t>
  </si>
  <si>
    <t>SOLICITADO PELA SÔNIA.                  ENTREGA 30/10/2023</t>
  </si>
  <si>
    <t>002199.</t>
  </si>
  <si>
    <t>DARCI RIBEIRO</t>
  </si>
  <si>
    <t>SOLICITADO PELA SÔNIA.                  ENTREGA 19/10/2023</t>
  </si>
  <si>
    <t>002196.</t>
  </si>
  <si>
    <t>19/10/2023 Á 02/11/2023</t>
  </si>
  <si>
    <t xml:space="preserve">AV.BANDEIRANTES 56 BETIM </t>
  </si>
  <si>
    <t>BANHEIRO ENTREGUE POR ÚLTIMO, FALTA EMITIR A NOTA.</t>
  </si>
  <si>
    <t>002459.</t>
  </si>
  <si>
    <t>27/11/2023 á 26/12/2023</t>
  </si>
  <si>
    <t>RUA ZUMBI DOS PALMARES ENTRE AV. DANDARA E RUA DOS QUILOMBOS</t>
  </si>
  <si>
    <t xml:space="preserve">CONFERIR DATA DE ENTREGA </t>
  </si>
  <si>
    <t>002324.</t>
  </si>
  <si>
    <t>02/11/2023 á 01/12/2023</t>
  </si>
  <si>
    <r>
      <rPr>
        <b/>
        <sz val="11"/>
        <color rgb="FFFFFF00"/>
        <rFont val="Calibri"/>
        <family val="2"/>
        <scheme val="minor"/>
      </rPr>
      <t>RECOLHER 19/12</t>
    </r>
    <r>
      <rPr>
        <b/>
        <sz val="11"/>
        <color theme="1"/>
        <rFont val="Calibri"/>
        <family val="2"/>
        <scheme val="minor"/>
      </rPr>
      <t xml:space="preserve"> CONFERIR DATA DE ENTREGA </t>
    </r>
  </si>
  <si>
    <t>RUA VIOLETA, B: BUGANVILE, NOVA CONTAGEM</t>
  </si>
  <si>
    <t>002333.</t>
  </si>
  <si>
    <t>06/11/2023 Á 05/12/2023</t>
  </si>
  <si>
    <t>CHACARAS CAMPESTRE</t>
  </si>
  <si>
    <t>RECOLHIDO 01/12/2023 SOLICITADO PELA SÔNIA</t>
  </si>
  <si>
    <t>002331.</t>
  </si>
  <si>
    <t>24/11/2023 Á 23/12/2023</t>
  </si>
  <si>
    <r>
      <rPr>
        <b/>
        <sz val="11"/>
        <color rgb="FFFFFF00"/>
        <rFont val="Calibri"/>
        <family val="2"/>
        <scheme val="minor"/>
      </rPr>
      <t xml:space="preserve">RECOLHER 19/12 </t>
    </r>
    <r>
      <rPr>
        <b/>
        <sz val="11"/>
        <color theme="1"/>
        <rFont val="Calibri"/>
        <family val="2"/>
        <scheme val="minor"/>
      </rPr>
      <t xml:space="preserve"> BANHEIRO RETIRADO DA ZOONOZES PARA O RIACHO DAS PEDRAS, MART MINAS.</t>
    </r>
  </si>
  <si>
    <t>002330.</t>
  </si>
  <si>
    <t>28/11/2023 Á 27/12/2023</t>
  </si>
  <si>
    <t>RUA JOSÉ PEDRO DE ARAÚJO, 4645, BAIRRO: CINCO, CONTAGEM, ZOONOSES.</t>
  </si>
  <si>
    <t>002303.</t>
  </si>
  <si>
    <t xml:space="preserve">BANHEIRO RECOLHIDO </t>
  </si>
  <si>
    <t>002304.</t>
  </si>
  <si>
    <t>002305.</t>
  </si>
  <si>
    <t>15/11/2023 á 14/12/2023</t>
  </si>
  <si>
    <t>002306.</t>
  </si>
  <si>
    <t>19/11/2023      18/12/2023</t>
  </si>
  <si>
    <t>002308.</t>
  </si>
  <si>
    <t>18/11/2023 á 17/12/2023</t>
  </si>
  <si>
    <t>Entregue 24/08/2023</t>
  </si>
  <si>
    <t>002309.</t>
  </si>
  <si>
    <t>24/11/2023 á 23/12/2023</t>
  </si>
  <si>
    <t>002310.</t>
  </si>
  <si>
    <t>18/11/2023 Á 17/12/2023</t>
  </si>
  <si>
    <t>002311.</t>
  </si>
  <si>
    <t>14/11/2023 Á 13/12/2023</t>
  </si>
  <si>
    <t>002312.</t>
  </si>
  <si>
    <t>09/11/2023 Á 08/12/2023</t>
  </si>
  <si>
    <t>002313.</t>
  </si>
  <si>
    <t>002314.</t>
  </si>
  <si>
    <t>002315.</t>
  </si>
  <si>
    <t>27/11/2023      26/12/2023</t>
  </si>
  <si>
    <t>002316.</t>
  </si>
  <si>
    <t>25/11/2023      24/12/2023</t>
  </si>
  <si>
    <t>002317.</t>
  </si>
  <si>
    <t>24/11/2023      23/12/2023</t>
  </si>
  <si>
    <t>002318.</t>
  </si>
  <si>
    <t>002319.</t>
  </si>
  <si>
    <t>14/11/2023      13/12/2023</t>
  </si>
  <si>
    <t>002320.</t>
  </si>
  <si>
    <t>02/11/2023      01/12/2023</t>
  </si>
  <si>
    <t>05/11/2023 á 04/12/2023</t>
  </si>
  <si>
    <t>RECOLHER 15/12</t>
  </si>
  <si>
    <t>22/11/2023      21/12/2023</t>
  </si>
  <si>
    <t>002321.</t>
  </si>
  <si>
    <t>04/11/2023      03/12/2023</t>
  </si>
  <si>
    <t>002322.</t>
  </si>
  <si>
    <t>07/11/2023 06/12/2023</t>
  </si>
  <si>
    <t>002323.</t>
  </si>
  <si>
    <t>01/12/2023      31/12/2023</t>
  </si>
  <si>
    <t>08/11/2023      07/12/2023</t>
  </si>
  <si>
    <t>002325.</t>
  </si>
  <si>
    <t>09/11/2023 08/12/2023</t>
  </si>
  <si>
    <t>002326.</t>
  </si>
  <si>
    <t>002327.</t>
  </si>
  <si>
    <t>03/11/2023 Á 02/12/2023</t>
  </si>
  <si>
    <t>002329.</t>
  </si>
  <si>
    <t>30/11/2023 Á 29/12/2023</t>
  </si>
  <si>
    <t>002328.</t>
  </si>
  <si>
    <t>19/11/2023 Á 18/12/2023</t>
  </si>
  <si>
    <r>
      <rPr>
        <b/>
        <sz val="11"/>
        <color rgb="FFFFFF00"/>
        <rFont val="Calibri"/>
        <family val="2"/>
        <scheme val="minor"/>
      </rPr>
      <t>BANHEIRO RECOLHIDO</t>
    </r>
    <r>
      <rPr>
        <b/>
        <sz val="11"/>
        <color theme="1"/>
        <rFont val="Calibri"/>
        <family val="2"/>
        <scheme val="minor"/>
      </rPr>
      <t xml:space="preserve"> SOLICITAÇÃO ALEXANDRE</t>
    </r>
  </si>
  <si>
    <t>002495.</t>
  </si>
  <si>
    <t>08/12/2023 á 07/01/2023</t>
  </si>
  <si>
    <t>BAIRRO TREVO</t>
  </si>
  <si>
    <r>
      <rPr>
        <b/>
        <sz val="11"/>
        <color rgb="FFFFFF00"/>
        <rFont val="Calibri"/>
        <family val="2"/>
        <scheme val="minor"/>
      </rPr>
      <t>BANHEIRO RECOLHIDO</t>
    </r>
    <r>
      <rPr>
        <b/>
        <sz val="11"/>
        <color theme="1"/>
        <rFont val="Calibri"/>
        <family val="2"/>
        <scheme val="minor"/>
      </rPr>
      <t xml:space="preserve"> BANHEIRO ENTREGUE POR ÚLTIMO, FALTA EMITIR A NOTA.</t>
    </r>
  </si>
  <si>
    <t>002490.</t>
  </si>
  <si>
    <t>BANHEIRO RECOLHIDO 14/12</t>
  </si>
  <si>
    <t>002460.</t>
  </si>
  <si>
    <t>02/12/2023 á 14/12/2023</t>
  </si>
  <si>
    <t>002489.</t>
  </si>
  <si>
    <t>02/12/2023 á 19/12/2023</t>
  </si>
  <si>
    <t>RECOLHIDO</t>
  </si>
  <si>
    <t>002494.</t>
  </si>
  <si>
    <t>06/12/2023 Á 05/01/2024</t>
  </si>
  <si>
    <t>RUA CINCO, 23, CHACARAS REUNIDAS SANTA TEREZINHA, CONTAGEM-MG, CEP: 32.150.340.</t>
  </si>
  <si>
    <r>
      <rPr>
        <b/>
        <sz val="11"/>
        <color rgb="FFFFC000"/>
        <rFont val="Calibri"/>
        <family val="2"/>
        <scheme val="minor"/>
      </rPr>
      <t xml:space="preserve">BANHEIRO RECOLHIDO </t>
    </r>
    <r>
      <rPr>
        <b/>
        <sz val="11"/>
        <color theme="1"/>
        <rFont val="Calibri"/>
        <family val="2"/>
        <scheme val="minor"/>
      </rPr>
      <t xml:space="preserve"> BANHEIRO RETIRADO DA ZOONOZES PARA O RIACHO DAS PEDRAS, MART MINAS.</t>
    </r>
  </si>
  <si>
    <t>002492.</t>
  </si>
  <si>
    <t>28/12/2023 Á 27/01/2024</t>
  </si>
  <si>
    <t>MART MINAS.</t>
  </si>
  <si>
    <t>002461.</t>
  </si>
  <si>
    <t>27/12/2023 á 26/01/2024</t>
  </si>
  <si>
    <t>002462.</t>
  </si>
  <si>
    <t>15/12/2023 á 14/01/2024</t>
  </si>
  <si>
    <t>002463.</t>
  </si>
  <si>
    <t>19/12/2023      18/01/2024</t>
  </si>
  <si>
    <t>002464.</t>
  </si>
  <si>
    <t>24/12/2023 á 23/01/2024</t>
  </si>
  <si>
    <t>002466.</t>
  </si>
  <si>
    <t>14/12/2023 Á 13/01/2024</t>
  </si>
  <si>
    <t>002540.</t>
  </si>
  <si>
    <t>09/12/2023 Á 08/01/2024</t>
  </si>
  <si>
    <t>002467.</t>
  </si>
  <si>
    <t>002468.</t>
  </si>
  <si>
    <t>27/12/2023      26/01/2024</t>
  </si>
  <si>
    <t>Rua: Naide - B: vale do Sol / Nova Lima-MG
Referência:
BR -040 Km 555, atrás da Minas máquinas</t>
  </si>
  <si>
    <t>002470.</t>
  </si>
  <si>
    <t>24/12/2023      23/01/2024</t>
  </si>
  <si>
    <t>002471.</t>
  </si>
  <si>
    <t>14/12/2023      13/01/2024</t>
  </si>
  <si>
    <t>002496.</t>
  </si>
  <si>
    <t>02/12/2023      01/01/2024</t>
  </si>
  <si>
    <t>05/12/2023 á 04/01/2024</t>
  </si>
  <si>
    <t>002472.</t>
  </si>
  <si>
    <t>04/12/2023      03/01/2024</t>
  </si>
  <si>
    <t>002473.</t>
  </si>
  <si>
    <t>07/12/2023 06/01/2024</t>
  </si>
  <si>
    <t>RECOLHIDO DOIS BANHEIROS 29/01</t>
  </si>
  <si>
    <t>002474.</t>
  </si>
  <si>
    <t>01/01/2024      31/01/2024</t>
  </si>
  <si>
    <t>002497.</t>
  </si>
  <si>
    <t>08/12/2023      07/01/2024</t>
  </si>
  <si>
    <t>002498.</t>
  </si>
  <si>
    <t>09/12/2023 08/01/2024</t>
  </si>
  <si>
    <t>002499.</t>
  </si>
  <si>
    <t>18/12/2023 Á 17/01/2024</t>
  </si>
  <si>
    <t>002502.</t>
  </si>
  <si>
    <t>03/12/2023 Á 02/01/2024</t>
  </si>
  <si>
    <r>
      <rPr>
        <b/>
        <sz val="11"/>
        <color rgb="FFFFFF00"/>
        <rFont val="Calibri"/>
        <family val="2"/>
        <scheme val="minor"/>
      </rPr>
      <t xml:space="preserve">          RECOLHER 23/02       </t>
    </r>
    <r>
      <rPr>
        <b/>
        <sz val="11"/>
        <color theme="1"/>
        <rFont val="Calibri"/>
        <family val="2"/>
        <scheme val="minor"/>
      </rPr>
      <t xml:space="preserve">              SOLICITAÇÃO Sônia ENTREGA 16/01 </t>
    </r>
  </si>
  <si>
    <t>16/01/2024 á 15/02/2024</t>
  </si>
  <si>
    <t>AV . FAUSTO RIBEIRO, B: BANDEIRINHAS, PRÓXIMO AO DEPÓSITO DE MATERIAIS MADEREIRA, BANDEIRINHAS-BETIM.</t>
  </si>
  <si>
    <r>
      <rPr>
        <b/>
        <sz val="11"/>
        <color rgb="FFFFFF00"/>
        <rFont val="Calibri"/>
        <family val="2"/>
        <scheme val="minor"/>
      </rPr>
      <t>RECOLHER 29/02</t>
    </r>
    <r>
      <rPr>
        <b/>
        <sz val="11"/>
        <color theme="1"/>
        <rFont val="Calibri"/>
        <family val="2"/>
        <scheme val="minor"/>
      </rPr>
      <t xml:space="preserve"> SOLICITAÇÃO ALEXANDRE ENTREGA 02/01 </t>
    </r>
  </si>
  <si>
    <t>002660.</t>
  </si>
  <si>
    <t>02/01/2024 á 01/02/2024</t>
  </si>
  <si>
    <t>R. Rio Paraopeba, 1304-1376 - Riacho das Pedras, Contagem - MG, 32265-070.</t>
  </si>
  <si>
    <t>002640.</t>
  </si>
  <si>
    <t>17/01/2024 Á 16/02/2024</t>
  </si>
  <si>
    <r>
      <rPr>
        <b/>
        <sz val="11"/>
        <color rgb="FFFFFF00"/>
        <rFont val="Calibri"/>
        <family val="2"/>
        <scheme val="minor"/>
      </rPr>
      <t xml:space="preserve">RECOLHER                     31/01/ 2024     </t>
    </r>
    <r>
      <rPr>
        <b/>
        <sz val="11"/>
        <color theme="1"/>
        <rFont val="Calibri"/>
        <family val="2"/>
        <scheme val="minor"/>
      </rPr>
      <t xml:space="preserve">                   SOLICITAÇÃO ALEXANDRE                         CC 349</t>
    </r>
  </si>
  <si>
    <t>002659.</t>
  </si>
  <si>
    <t>16/01/2024 Á 31/01/2024</t>
  </si>
  <si>
    <t>RUA VP-1, 2236, NOVA CONTAGEM.</t>
  </si>
  <si>
    <r>
      <rPr>
        <b/>
        <sz val="11"/>
        <color rgb="FFFFFF00"/>
        <rFont val="Calibri"/>
        <family val="2"/>
        <scheme val="minor"/>
      </rPr>
      <t xml:space="preserve">RECOLHER 29/02 </t>
    </r>
    <r>
      <rPr>
        <b/>
        <sz val="11"/>
        <color theme="1"/>
        <rFont val="Calibri"/>
        <family val="2"/>
        <scheme val="minor"/>
      </rPr>
      <t>ENTREGAR  31/01</t>
    </r>
  </si>
  <si>
    <t>31/01/2024 Á 29/02/2024</t>
  </si>
  <si>
    <t>AV. CENTAURO- RIACHO DAS PEDRAS</t>
  </si>
  <si>
    <t>002642.</t>
  </si>
  <si>
    <t>27/01/2024 á 26/02/2024</t>
  </si>
  <si>
    <t>0024643.</t>
  </si>
  <si>
    <t>15/01/2024 á 14/02/2024</t>
  </si>
  <si>
    <t>002644.</t>
  </si>
  <si>
    <t>24/01/2024 á 23/02/2024</t>
  </si>
  <si>
    <t>002645.</t>
  </si>
  <si>
    <t>14/01/2024 Á 13/02/2024</t>
  </si>
  <si>
    <t>002646.</t>
  </si>
  <si>
    <t>09/01/2024 Á 08/02/2024</t>
  </si>
  <si>
    <t>002647.</t>
  </si>
  <si>
    <t>002648.</t>
  </si>
  <si>
    <t>27/01/2024      26/02/2024</t>
  </si>
  <si>
    <t>02/01/2024      02/02/2024</t>
  </si>
  <si>
    <t>002649.</t>
  </si>
  <si>
    <t>05/01/2024 á 04/02/2024</t>
  </si>
  <si>
    <t>002650.</t>
  </si>
  <si>
    <t>02/01/2024      01/02/2024</t>
  </si>
  <si>
    <t>04/01/2024     03/02/2024</t>
  </si>
  <si>
    <t>002652.</t>
  </si>
  <si>
    <t>07/01/2024 06/02/2024</t>
  </si>
  <si>
    <t>RECOLHER 23/02</t>
  </si>
  <si>
    <t>002653.</t>
  </si>
  <si>
    <t>01/02/2024      29/02/2024</t>
  </si>
  <si>
    <t>RECOLHER 27/02</t>
  </si>
  <si>
    <t>002654.</t>
  </si>
  <si>
    <t>08/01/2024      07/02/2024</t>
  </si>
  <si>
    <t>002655.</t>
  </si>
  <si>
    <t>09/01/2024 08/02/2024</t>
  </si>
  <si>
    <t>002656.</t>
  </si>
  <si>
    <t>18/01/2024 Á 17/02/2024</t>
  </si>
  <si>
    <t>002657.</t>
  </si>
  <si>
    <t>03/01/2024 Á 02/02/2024</t>
  </si>
  <si>
    <t>002746.</t>
  </si>
  <si>
    <t>17/02/2024 Á 16/03/2024</t>
  </si>
  <si>
    <t>002747.</t>
  </si>
  <si>
    <t>15/02/2024 á 14/03/2024</t>
  </si>
  <si>
    <t>002749.</t>
  </si>
  <si>
    <t>14/02/2024 Á 13/03/2024</t>
  </si>
  <si>
    <t>002750.</t>
  </si>
  <si>
    <t>09/02/2024 Á 08/03/2024</t>
  </si>
  <si>
    <t>002751.</t>
  </si>
  <si>
    <t>002752..</t>
  </si>
  <si>
    <t>27/02/2024      26/03/2024</t>
  </si>
  <si>
    <t>Cobrança do último período de locação.</t>
  </si>
  <si>
    <t>002753.</t>
  </si>
  <si>
    <t>02/02/2024 á 26/02/2024</t>
  </si>
  <si>
    <t>002754.</t>
  </si>
  <si>
    <t>05/02/2024 á 04/03/2024</t>
  </si>
  <si>
    <t>002756.</t>
  </si>
  <si>
    <t>02/02/2024      01/03/2024</t>
  </si>
  <si>
    <t>04/02/2024     03/03/2024</t>
  </si>
  <si>
    <t>002757.</t>
  </si>
  <si>
    <t>07/02/2024 06/03/2024</t>
  </si>
  <si>
    <t>002758.</t>
  </si>
  <si>
    <t>01/03/2024 á 30/03/2024</t>
  </si>
  <si>
    <t>PEDRO LEOPOLDO - PRÓXIMO A CIDADE DE CONFINS.</t>
  </si>
  <si>
    <t>002759.</t>
  </si>
  <si>
    <t>18/02/2024 Á 17/03/2024</t>
  </si>
  <si>
    <t>002760.</t>
  </si>
  <si>
    <t>03/02/2024 Á 02/03/2024</t>
  </si>
  <si>
    <t>SOLICITAÇÃO SÔNIA</t>
  </si>
  <si>
    <t>002761.</t>
  </si>
  <si>
    <t>21/03/2024 á 20/04/2024</t>
  </si>
  <si>
    <t>AV. MONTREAL, 555, JARDIM CANADÁ, NOVA  LIMA,</t>
  </si>
  <si>
    <t>SOLICITAÇÃO RODRIGO</t>
  </si>
  <si>
    <t>002764.</t>
  </si>
  <si>
    <t>26/02/2024 á 25/03/2024</t>
  </si>
  <si>
    <t>VIA EXPRESSA DE CONTAGEM, 962, ÁGUA BRANCA,CONTAGEM.</t>
  </si>
  <si>
    <t>20/03/2024 á 19/04/2024</t>
  </si>
  <si>
    <t>AV. DAS BANDEIRAS, 263. JARDIM LAGUNA, CONTAGEM.</t>
  </si>
  <si>
    <r>
      <rPr>
        <b/>
        <sz val="10"/>
        <color rgb="FFFFFF00"/>
        <rFont val="Calibri"/>
        <family val="2"/>
        <scheme val="minor"/>
      </rPr>
      <t xml:space="preserve">ULTIMA COBRANÇA </t>
    </r>
    <r>
      <rPr>
        <b/>
        <sz val="10"/>
        <color theme="1"/>
        <rFont val="Calibri"/>
        <family val="2"/>
        <scheme val="minor"/>
      </rPr>
      <t>Recolhido em março. SOLICITAÇÃO SÔNIA</t>
    </r>
  </si>
  <si>
    <t>002763.</t>
  </si>
  <si>
    <t>01/03/2024 á 31/03/2024</t>
  </si>
  <si>
    <t>RUA PALMEIRAS, 80, B: TIJUCA, CONTAGEM</t>
  </si>
  <si>
    <r>
      <rPr>
        <b/>
        <sz val="10"/>
        <color rgb="FFFFFF00"/>
        <rFont val="Calibri"/>
        <family val="2"/>
        <scheme val="minor"/>
      </rPr>
      <t xml:space="preserve">ULTIMA COBRANÇA </t>
    </r>
    <r>
      <rPr>
        <b/>
        <sz val="10"/>
        <color theme="1"/>
        <rFont val="Calibri"/>
        <family val="2"/>
        <scheme val="minor"/>
      </rPr>
      <t xml:space="preserve">Recolhido 15/03/2024 </t>
    </r>
  </si>
  <si>
    <t>27/02/2024 á 15/03/2024</t>
  </si>
  <si>
    <t>PENITENCIÁRIA NELSON HUNGRIA, RUA PATRICIA APARECIDA SANTOS, 50.</t>
  </si>
  <si>
    <r>
      <rPr>
        <b/>
        <sz val="10"/>
        <color rgb="FFFFFF00"/>
        <rFont val="Calibri"/>
        <family val="2"/>
        <scheme val="minor"/>
      </rPr>
      <t xml:space="preserve">ULTIMA COBRANÇA </t>
    </r>
    <r>
      <rPr>
        <b/>
        <sz val="10"/>
        <color theme="1"/>
        <rFont val="Calibri"/>
        <family val="2"/>
        <scheme val="minor"/>
      </rPr>
      <t>Recolhido                      01/04/2024</t>
    </r>
  </si>
  <si>
    <t>RUA JOSÉ PEDRO DE ARAÚJO, 4645, CONTAGEM, ZOONOZES.</t>
  </si>
  <si>
    <t>002876.</t>
  </si>
  <si>
    <t>12/04/2024 á 11/05/2024</t>
  </si>
  <si>
    <r>
      <rPr>
        <b/>
        <sz val="11"/>
        <color rgb="FF202124"/>
        <rFont val="Calibri"/>
        <family val="2"/>
        <scheme val="minor"/>
      </rPr>
      <t xml:space="preserve"> BANHEIROS ESTÃO NA VL 22, NOVA CONTAGEM. </t>
    </r>
    <r>
      <rPr>
        <b/>
        <sz val="11"/>
        <color rgb="FFFF0000"/>
        <rFont val="Calibri"/>
        <family val="2"/>
        <scheme val="minor"/>
      </rPr>
      <t>OBRA ALEXANDRE</t>
    </r>
  </si>
  <si>
    <t>002877.</t>
  </si>
  <si>
    <t>11/04/2024 á 10/05/2024</t>
  </si>
  <si>
    <r>
      <rPr>
        <b/>
        <sz val="11"/>
        <color rgb="FF202124"/>
        <rFont val="Calibri"/>
        <family val="2"/>
        <scheme val="minor"/>
      </rPr>
      <t xml:space="preserve">VC4, NOVA CONTAGEM. </t>
    </r>
    <r>
      <rPr>
        <b/>
        <sz val="11"/>
        <color rgb="FFFF0000"/>
        <rFont val="Calibri"/>
        <family val="2"/>
        <scheme val="minor"/>
      </rPr>
      <t>BANHEIRO LOCADO PARA CONSTRUTORA MONTE VERDE - OBRA DA LAÍS.</t>
    </r>
  </si>
  <si>
    <t>RECOLHER 09/05 ENTREGA 30/04</t>
  </si>
  <si>
    <t>002871.</t>
  </si>
  <si>
    <t>20/04/2024 á 19/05/2024</t>
  </si>
  <si>
    <t>Av. das Bandeiras, 259-89 - Jardim Laguna, Contagem</t>
  </si>
  <si>
    <t>ENTREGA 25/04</t>
  </si>
  <si>
    <t>002872.</t>
  </si>
  <si>
    <t>25/04/2024 á 24/05/2024</t>
  </si>
  <si>
    <t>AV. JOSÉ DINIZ E SILVA, B: BELA VISTA, CONTAGEM.</t>
  </si>
  <si>
    <r>
      <rPr>
        <b/>
        <sz val="10"/>
        <color rgb="FFFFFF00"/>
        <rFont val="Calibri"/>
        <family val="2"/>
        <scheme val="minor"/>
      </rPr>
      <t xml:space="preserve">RECOLHIMENTO 25/04 </t>
    </r>
    <r>
      <rPr>
        <b/>
        <sz val="10"/>
        <color theme="1"/>
        <rFont val="Calibri"/>
        <family val="2"/>
        <scheme val="minor"/>
      </rPr>
      <t>mudança da rua iraje para rua  Mulungu 725 que sai na rua Jequitibás 22/04</t>
    </r>
    <r>
      <rPr>
        <b/>
        <sz val="10"/>
        <color rgb="FFFFFF00"/>
        <rFont val="Calibri"/>
        <family val="2"/>
        <scheme val="minor"/>
      </rPr>
      <t xml:space="preserve">    </t>
    </r>
    <r>
      <rPr>
        <b/>
        <sz val="10"/>
        <color theme="1"/>
        <rFont val="Calibri"/>
        <family val="2"/>
        <scheme val="minor"/>
      </rPr>
      <t xml:space="preserve">              SOLICITAÇÃO SÔNIA</t>
    </r>
  </si>
  <si>
    <t>002873.</t>
  </si>
  <si>
    <t>15/04/2024 á 14/05/2024</t>
  </si>
  <si>
    <t xml:space="preserve"> Mulungu 725 que sai na rua Jequitibás </t>
  </si>
  <si>
    <t>002875.</t>
  </si>
  <si>
    <t>Av. dos Retirantes, 342 - Retiro, Contagem - MG</t>
  </si>
  <si>
    <t>RECOLHIDO 06/05</t>
  </si>
  <si>
    <t>002858.</t>
  </si>
  <si>
    <t>17/03/2024 Á 16/04/2024</t>
  </si>
  <si>
    <t>002859.</t>
  </si>
  <si>
    <t>15/03/2024 á 14/04/2024</t>
  </si>
  <si>
    <t>002860.</t>
  </si>
  <si>
    <t>14/03/2024 Á 13/04/2024</t>
  </si>
  <si>
    <t>002861.</t>
  </si>
  <si>
    <t>09/03/2024 Á 08/04/2024</t>
  </si>
  <si>
    <t>002862.</t>
  </si>
  <si>
    <t>002863.</t>
  </si>
  <si>
    <t>27/03/2024      26/04/2024</t>
  </si>
  <si>
    <t>BANHEIRO TRANSFERIDO DA AV. FAUSTO RIBEIRO DA SILVA, 70, BANDEIRINHAS, BETIM, PARA RUA AMÉRICO DA COSTA LAGE, JARDIM CASA BRANCA, BETIM.</t>
  </si>
  <si>
    <t>002864.</t>
  </si>
  <si>
    <t>05/03/2024 á 04/04/2024</t>
  </si>
  <si>
    <t>002865.</t>
  </si>
  <si>
    <t>02/03/2024      01/04/2024</t>
  </si>
  <si>
    <t>04/03/2024     03/04/2024</t>
  </si>
  <si>
    <t>002866.</t>
  </si>
  <si>
    <t>07/03/2024 06/04/2024</t>
  </si>
  <si>
    <t>002867.</t>
  </si>
  <si>
    <t>01/04/2024 á 30/04/2024</t>
  </si>
  <si>
    <t>002868.</t>
  </si>
  <si>
    <t>18/03/2024 Á 17/04/2024</t>
  </si>
  <si>
    <t>002869.</t>
  </si>
  <si>
    <t>03/03/2024 Á 02/04/2024</t>
  </si>
  <si>
    <t>002870.</t>
  </si>
  <si>
    <t>21/04/2024 á 20/05/2024</t>
  </si>
  <si>
    <t>002945.</t>
  </si>
  <si>
    <t>06/06/2024 á 05/07/2024</t>
  </si>
  <si>
    <t>RUA JOÃO PEDRO SILVEIRA, 353, NOVA LIMA-MG.</t>
  </si>
  <si>
    <r>
      <rPr>
        <b/>
        <sz val="11"/>
        <color theme="1"/>
        <rFont val="Calibri"/>
        <family val="2"/>
        <scheme val="minor"/>
      </rPr>
      <t xml:space="preserve">CONSTRUTORA DRAGAGEM PARAOPEBA LTDA, 18.322.925/0001-14,RODOVIA BR 040, KM 523.5, LOTE: A, B: GUANABARA, CONTAGEM-MG, CEP: 32.150.340. </t>
    </r>
    <r>
      <rPr>
        <b/>
        <sz val="11"/>
        <color rgb="FFFF0000"/>
        <rFont val="Calibri"/>
        <family val="2"/>
        <scheme val="minor"/>
      </rPr>
      <t xml:space="preserve">SOLICITADO PELA SÔNIA.            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  STEPHANNE: 97180-4294 / 3394-6347.                                                  administrativo3@grupoparaopeba.com.br</t>
    </r>
  </si>
  <si>
    <t>002946.</t>
  </si>
  <si>
    <t>06/05/2024 á 05/06/2024</t>
  </si>
  <si>
    <t>BANHEIRO ESTÁ PRÓXIMO A PENITENCIÁRIA NELSON HUNGRIA, NOVA CONTAGEM-MG.</t>
  </si>
  <si>
    <r>
      <rPr>
        <b/>
        <sz val="11"/>
        <color theme="1"/>
        <rFont val="Calibri"/>
        <family val="2"/>
        <scheme val="minor"/>
      </rPr>
      <t xml:space="preserve">CONSTRUTORA DRAGAGEM PARAOPEBA LTDA, 18.322.925/0001-14,RODOVIA BR 040, KM 523.5, LOTE: A, B: GUANABARA, CONTAGEM-MG, CEP: 32.150.340. </t>
    </r>
    <r>
      <rPr>
        <b/>
        <sz val="11"/>
        <color rgb="FFFF0000"/>
        <rFont val="Calibri"/>
        <family val="2"/>
        <scheme val="minor"/>
      </rPr>
      <t xml:space="preserve">SOLICITADO PELA SÔNIA.            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  STEPHANNE: 97180-4294 / 3394-6347.                                                  SONIA </t>
    </r>
  </si>
  <si>
    <t>SOLICITADO PELA MONTE VERDE GESLIANE: 99521-8802</t>
  </si>
  <si>
    <t>003006.</t>
  </si>
  <si>
    <t>21/05/2024 á 20/06/2024</t>
  </si>
  <si>
    <t>RUA SÃO LUCAS, 779, B: AGUA BRANCA, CONTAGEM.</t>
  </si>
  <si>
    <t>SÔNIA</t>
  </si>
  <si>
    <t>002950.</t>
  </si>
  <si>
    <t>22/05/2024 á 21/06/2024</t>
  </si>
  <si>
    <t>RUA CINCO, 23, CHÁCARAS REUNIDAS SANTA TEREZINHA, CONTAGEM.</t>
  </si>
  <si>
    <t>002951.</t>
  </si>
  <si>
    <t>AV. VILA RICA, 888, INCONFIDENTES</t>
  </si>
  <si>
    <t>SOLICITADO PELA MONTE VERDE. BRISA: 99366-2313.</t>
  </si>
  <si>
    <t>003005.</t>
  </si>
  <si>
    <t xml:space="preserve"> RUA DOS RETIRANTES EM CONTAGEM, OBRA NO CORRÉGO.</t>
  </si>
  <si>
    <t>002952.</t>
  </si>
  <si>
    <t>03/05/2024 á 02/06/2024</t>
  </si>
  <si>
    <t>002928.</t>
  </si>
  <si>
    <t>12/05/2024 á 11/06/2024</t>
  </si>
  <si>
    <r>
      <rPr>
        <b/>
        <sz val="11"/>
        <color rgb="FF202124"/>
        <rFont val="Calibri"/>
        <family val="2"/>
        <scheme val="minor"/>
      </rPr>
      <t xml:space="preserve"> BANHEIROS ESTÃO NA VL 6, NOVA CONTAGEM. </t>
    </r>
    <r>
      <rPr>
        <b/>
        <sz val="11"/>
        <color rgb="FFFF0000"/>
        <rFont val="Calibri"/>
        <family val="2"/>
        <scheme val="minor"/>
      </rPr>
      <t>OBRA ALEXANDRE</t>
    </r>
  </si>
  <si>
    <t>002929.</t>
  </si>
  <si>
    <t>11/05/2024 á 10/06/2024</t>
  </si>
  <si>
    <r>
      <rPr>
        <b/>
        <sz val="11"/>
        <color rgb="FF202124"/>
        <rFont val="Calibri"/>
        <family val="2"/>
        <scheme val="minor"/>
      </rPr>
      <t xml:space="preserve">VL22, NOVA CONTAGEM. </t>
    </r>
    <r>
      <rPr>
        <b/>
        <sz val="11"/>
        <color rgb="FFFF0000"/>
        <rFont val="Calibri"/>
        <family val="2"/>
        <scheme val="minor"/>
      </rPr>
      <t>BANHEIRO LOCADO PARA CONSTRUTORA MONTE VERDE - OBRA DA LAÍS.</t>
    </r>
  </si>
  <si>
    <t>ENTREGA 25/04 RECOLHER 12/07/24</t>
  </si>
  <si>
    <t>002944.</t>
  </si>
  <si>
    <t>25/05/2024 á 24/06/2024</t>
  </si>
  <si>
    <t>002930.</t>
  </si>
  <si>
    <t>002931.</t>
  </si>
  <si>
    <t>14/05/2024 Á 13/06/2024</t>
  </si>
  <si>
    <t>002932.</t>
  </si>
  <si>
    <t>09/04/2024 Á 08/05/2024</t>
  </si>
  <si>
    <t>002833.</t>
  </si>
  <si>
    <t>002934.</t>
  </si>
  <si>
    <t>27/04/2024      26/05/2024</t>
  </si>
  <si>
    <t>002947.</t>
  </si>
  <si>
    <t>05/04/2024 á 04/05/2024</t>
  </si>
  <si>
    <t>002936.</t>
  </si>
  <si>
    <t>Rua Ariovaldo Luciano Pinho, 8-72 - Petrópolis, Betim</t>
  </si>
  <si>
    <t>002937.</t>
  </si>
  <si>
    <t>04/04/2024      03/05/2024</t>
  </si>
  <si>
    <t>002938.</t>
  </si>
  <si>
    <t>07/04/2024 06/05/2024</t>
  </si>
  <si>
    <t>002939.</t>
  </si>
  <si>
    <t>01/05/2024 á 30/05/2024</t>
  </si>
  <si>
    <t>002940.</t>
  </si>
  <si>
    <t>18/04/2024 Á 17/05/2024</t>
  </si>
  <si>
    <t>002942.</t>
  </si>
  <si>
    <t>03/04/2024 Á 02/05/2024</t>
  </si>
  <si>
    <t>002943.</t>
  </si>
  <si>
    <t>003007.</t>
  </si>
  <si>
    <t>12/06/2024 á 11/07/2024</t>
  </si>
  <si>
    <r>
      <rPr>
        <b/>
        <sz val="11"/>
        <color theme="1"/>
        <rFont val="Calibri"/>
        <family val="2"/>
        <scheme val="minor"/>
      </rPr>
      <t xml:space="preserve">AV PRINCIPAL DO IPÊ AMARELO.      </t>
    </r>
    <r>
      <rPr>
        <b/>
        <sz val="11"/>
        <color rgb="FFFF0000"/>
        <rFont val="Calibri"/>
        <family val="2"/>
        <scheme val="minor"/>
      </rPr>
      <t xml:space="preserve">                                OBRA ALEXANDRE</t>
    </r>
  </si>
  <si>
    <t>003008.</t>
  </si>
  <si>
    <t>11/06/2024 á 10/07/2024</t>
  </si>
  <si>
    <r>
      <rPr>
        <b/>
        <sz val="11"/>
        <color theme="1"/>
        <rFont val="Calibri"/>
        <family val="2"/>
        <scheme val="minor"/>
      </rPr>
      <t xml:space="preserve">CONSTRUTORA DRAGAGEM PARAOPEBA LTDA, 18.322.925/0001-14,RODOVIA BR 040, KM 523.5, LOTE: A, B: GUANABARA, CONTAGEM-MG, CEP: 32.150.340. </t>
    </r>
    <r>
      <rPr>
        <b/>
        <sz val="11"/>
        <color rgb="FFFF0000"/>
        <rFont val="Calibri"/>
        <family val="2"/>
        <scheme val="minor"/>
      </rPr>
      <t xml:space="preserve">SOLICITADO PELA SÔNIA.            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  STEPHANNE: 97180-4294 / 3394-6347.                                                  (SONIA FINANCEIRO) administrativo3@grupoparaopeba.com.br</t>
    </r>
  </si>
  <si>
    <t>003010.</t>
  </si>
  <si>
    <t>15/05/2024 á 14/06/2024</t>
  </si>
  <si>
    <t>003009.</t>
  </si>
  <si>
    <r>
      <rPr>
        <b/>
        <sz val="11"/>
        <color theme="1"/>
        <rFont val="Calibri"/>
        <family val="2"/>
        <scheme val="minor"/>
      </rPr>
      <t xml:space="preserve">CONSTRUTORA DRAGAGEM PARAOPEBA LTDA, 18.322.925/0001-14,RODOVIA BR 040, KM 523.5, LOTE: A, B: GUANABARA, CONTAGEM-MG, CEP: 32.150.340. </t>
    </r>
    <r>
      <rPr>
        <b/>
        <sz val="11"/>
        <color rgb="FFFF0000"/>
        <rFont val="Calibri"/>
        <family val="2"/>
        <scheme val="minor"/>
      </rPr>
      <t xml:space="preserve">SOLICITADO PELA SÔNIA.            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  STEPHANNE: 97180-4294 / 3394-6347.                                                  (SONIA FINANCEIRO) 
administrativo3@grupoparaopeba.com.br</t>
    </r>
  </si>
  <si>
    <t>003035.</t>
  </si>
  <si>
    <t>09/05/2024 Á 08/06/2024</t>
  </si>
  <si>
    <t>Av. Mercurio , Vale do Sol, Nova Lima.</t>
  </si>
  <si>
    <t>003034.</t>
  </si>
  <si>
    <t>003011.</t>
  </si>
  <si>
    <t>27/05/2024      26/06/2024</t>
  </si>
  <si>
    <r>
      <rPr>
        <b/>
        <sz val="11"/>
        <color theme="1"/>
        <rFont val="Calibri"/>
        <family val="2"/>
        <scheme val="minor"/>
      </rPr>
      <t xml:space="preserve">CONSTRUTORA DRAGAGEM PARAOPEBA LTDA, 18.322.925/0001-14,RODOVIA BR 040, KM 523.5, LOTE: A, B: GUANABARA, CONTAGEM-MG, CEP: 32.150.340. </t>
    </r>
    <r>
      <rPr>
        <b/>
        <sz val="11"/>
        <color rgb="FFFF0000"/>
        <rFont val="Calibri"/>
        <family val="2"/>
        <scheme val="minor"/>
      </rPr>
      <t xml:space="preserve">SOLICITADO PELA SÔNIA.            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  STEPHANNE: 97180-4294 / 3394-6347.                                                                         (SONIA FINANCEIRO) administrativo3@grupoparaopeba.com.br</t>
    </r>
  </si>
  <si>
    <t>003012.</t>
  </si>
  <si>
    <t>05/05/2024 á 04/06/2024</t>
  </si>
  <si>
    <t>003013.</t>
  </si>
  <si>
    <r>
      <rPr>
        <b/>
        <sz val="11"/>
        <color theme="1"/>
        <rFont val="Calibri"/>
        <family val="2"/>
        <scheme val="minor"/>
      </rPr>
      <t xml:space="preserve">CONSTRUTORA DRAGAGEM PARAOPEBA LTDA, 18.322.925/0001-14,RODOVIA BR 040, KM 523.5, LOTE: A, B: GUANABARA, CONTAGEM-MG, CEP: 32.150.340. </t>
    </r>
    <r>
      <rPr>
        <b/>
        <sz val="11"/>
        <color rgb="FFFF0000"/>
        <rFont val="Calibri"/>
        <family val="2"/>
        <scheme val="minor"/>
      </rPr>
      <t xml:space="preserve">SOLICITADO PELA SÔNIA.            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  STEPHANNE: 97180-4294 / 3394-6347.                                                  (SONIA FINANCEIRO)administrativo3@grupoparaopeba.com.br</t>
    </r>
  </si>
  <si>
    <t>003014.</t>
  </si>
  <si>
    <t>02/05/2024      01/06/2024</t>
  </si>
  <si>
    <t>04/05/2024      03/06/2024</t>
  </si>
  <si>
    <t>003015.</t>
  </si>
  <si>
    <t>07/05/2024 06/06/2024</t>
  </si>
  <si>
    <t>administrativo3@grupoparaopeba.com.br</t>
  </si>
  <si>
    <t>003016.</t>
  </si>
  <si>
    <t>01/06/2024 á 30/06/2024</t>
  </si>
  <si>
    <t>003017.</t>
  </si>
  <si>
    <t>18/05/2024 Á 17/06/2024</t>
  </si>
  <si>
    <r>
      <rPr>
        <b/>
        <sz val="11"/>
        <color theme="1"/>
        <rFont val="Calibri"/>
        <family val="2"/>
        <scheme val="minor"/>
      </rPr>
      <t xml:space="preserve">CONSTRUTORA DRAGAGEM PARAOPEBA LTDA, 18.322.925/0001-14,RODOVIA BR 040, KM 523.5, LOTE: A, B: GUANABARA, CONTAGEM-MG, CEP: 32.150.340. </t>
    </r>
    <r>
      <rPr>
        <b/>
        <sz val="11"/>
        <color rgb="FFFF0000"/>
        <rFont val="Calibri"/>
        <family val="2"/>
        <scheme val="minor"/>
      </rPr>
      <t xml:space="preserve">           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  STEPHANNE: 97180-4294 / 3394-6347.                                                  (SONIA FINANCEIRO) administrativo3@grupoparaopeba.com.br</t>
    </r>
  </si>
  <si>
    <t>003020.</t>
  </si>
  <si>
    <t>03/05/2024 Á 02/06/2024</t>
  </si>
  <si>
    <r>
      <rPr>
        <b/>
        <sz val="11"/>
        <color theme="1"/>
        <rFont val="Calibri"/>
        <family val="2"/>
        <scheme val="minor"/>
      </rPr>
      <t xml:space="preserve">CONSTRUTORA DRAGAGEM PARAOPEBA LTDA, 18.322.925/0001-14,RODOVIA BR 040, KM 523.5, LOTE: A, B: GUANABARA, CONTAGEM-MG, CEP: 32.150.340. </t>
    </r>
    <r>
      <rPr>
        <b/>
        <sz val="11"/>
        <color rgb="FFFF0000"/>
        <rFont val="Calibri"/>
        <family val="2"/>
        <scheme val="minor"/>
      </rPr>
      <t xml:space="preserve">           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  STEPHANNE: 97180-4294 / 3394-6347.                                                  (SONIA FINANCEIRO) 
administrativo3@grupoparaopeba.com.br</t>
    </r>
  </si>
  <si>
    <t>003021.</t>
  </si>
  <si>
    <t>21/06/2024 á 20/07/2024</t>
  </si>
  <si>
    <r>
      <rPr>
        <b/>
        <sz val="11"/>
        <color theme="1"/>
        <rFont val="Calibri"/>
        <family val="2"/>
        <scheme val="minor"/>
      </rPr>
      <t xml:space="preserve">CONSTRUTORA DRAGAGEM PARAOPEBA LTDA, 18.322.925/0001-14,RODOVIA BR 040, KM 523.5, LOTE: A, B: GUANABARA, CONTAGEM-MG, CEP: 32.150.340. </t>
    </r>
    <r>
      <rPr>
        <b/>
        <sz val="11"/>
        <color rgb="FFFF0000"/>
        <rFont val="Calibri"/>
        <family val="2"/>
        <scheme val="minor"/>
      </rPr>
      <t xml:space="preserve">SOLICITADO PELA SÔNIA.            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  STEPHANNE: 97180-4294 / 3394-6347.                                                  (SONIA FINANCEIRO) 
administrativo3@grupoparaopeba.com.br</t>
    </r>
  </si>
  <si>
    <t>003022.</t>
  </si>
  <si>
    <t>25/06/2024 á 24/07/2024</t>
  </si>
  <si>
    <t>003023.</t>
  </si>
  <si>
    <t>06/07/2024 á 05/08/2024</t>
  </si>
  <si>
    <t>003024.</t>
  </si>
  <si>
    <t>RUA PATRÍCIA, CENTRO DE CUSTO 355.</t>
  </si>
  <si>
    <r>
      <rPr>
        <b/>
        <sz val="11"/>
        <color theme="1"/>
        <rFont val="Calibri"/>
        <family val="2"/>
        <scheme val="minor"/>
      </rPr>
      <t xml:space="preserve">CONSTRUTORA DRAGAGEM PARAOPEBA LTDA, 18.322.925/0001-14,RODOVIA BR 040, KM 523.5, LOTE: A, B: GUANABARA, CONTAGEM-MG, CEP: 32.150.340. </t>
    </r>
    <r>
      <rPr>
        <b/>
        <sz val="11"/>
        <color rgb="FFFF0000"/>
        <rFont val="Calibri"/>
        <family val="2"/>
        <scheme val="minor"/>
      </rPr>
      <t xml:space="preserve">SOLICITADO PELA SÔNIA.            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  STEPHANNE: 97180-4294 / 3394-6347.                                                  SONIA administrativo3@grupoparaopeba.com.br</t>
    </r>
  </si>
  <si>
    <t>003133.</t>
  </si>
  <si>
    <t>RUA SÃO LUCAS, 779, B: AGUA BRANCA, CONTAGEM, OBRA DO HELMUT.</t>
  </si>
  <si>
    <t>003025.</t>
  </si>
  <si>
    <t>22/06/2024 á 21/07/2024</t>
  </si>
  <si>
    <t>RECOLHIDO 16/07  SÔNIA</t>
  </si>
  <si>
    <t>003026.</t>
  </si>
  <si>
    <t>MAZINHO</t>
  </si>
  <si>
    <t>003028.</t>
  </si>
  <si>
    <t>OBRA DO CORREGO</t>
  </si>
  <si>
    <t>003064.</t>
  </si>
  <si>
    <t>CENTRO DE CUSTO 355.</t>
  </si>
  <si>
    <r>
      <rPr>
        <b/>
        <sz val="11"/>
        <color theme="1"/>
        <rFont val="Calibri"/>
        <family val="2"/>
        <scheme val="minor"/>
      </rPr>
      <t xml:space="preserve">FRETE 150,00 </t>
    </r>
    <r>
      <rPr>
        <b/>
        <sz val="11"/>
        <color rgb="FFFFFF00"/>
        <rFont val="Calibri"/>
        <family val="2"/>
        <scheme val="minor"/>
      </rPr>
      <t>SOLICITAÇÃO SÔNIA</t>
    </r>
  </si>
  <si>
    <t>003030.</t>
  </si>
  <si>
    <t>26/06/2024 á 25/07/2024</t>
  </si>
  <si>
    <t>VC 4, CONTAGEM.</t>
  </si>
  <si>
    <t>003031.</t>
  </si>
  <si>
    <t>03/07/2024 á 02/08/2024</t>
  </si>
  <si>
    <t>RUA: B, 45, B: RETIRO, CONTAGEM-MG.</t>
  </si>
  <si>
    <t>003032.</t>
  </si>
  <si>
    <t>11/07/2024 á 10/08/2024</t>
  </si>
  <si>
    <t>Av. Marte, 1000 - Vale do Sol, Nova Lima - MG, 34000-000</t>
  </si>
  <si>
    <t>RECOLHER 26/07 SOLICITAÇÃO SÔNIA</t>
  </si>
  <si>
    <t>003033.</t>
  </si>
  <si>
    <t>12/07/2024 á 11/08/2024</t>
  </si>
  <si>
    <t>R. Bragança, 625-601 - Novo Progresso, Contagem - MG, 32140-480</t>
  </si>
  <si>
    <t>003082.</t>
  </si>
  <si>
    <r>
      <rPr>
        <b/>
        <sz val="11"/>
        <color theme="1"/>
        <rFont val="Calibri"/>
        <family val="2"/>
        <scheme val="minor"/>
      </rPr>
      <t xml:space="preserve">VL 30   </t>
    </r>
    <r>
      <rPr>
        <b/>
        <sz val="11"/>
        <color rgb="FFFF0000"/>
        <rFont val="Calibri"/>
        <family val="2"/>
        <scheme val="minor"/>
      </rPr>
      <t xml:space="preserve">                                OBRA ALEXANDRE</t>
    </r>
  </si>
  <si>
    <t>003083.</t>
  </si>
  <si>
    <r>
      <rPr>
        <b/>
        <sz val="11"/>
        <color rgb="FF202124"/>
        <rFont val="Calibri"/>
        <family val="2"/>
        <scheme val="minor"/>
      </rPr>
      <t xml:space="preserve">VL 16                                                        </t>
    </r>
    <r>
      <rPr>
        <b/>
        <sz val="11"/>
        <color rgb="FFFF0000"/>
        <rFont val="Calibri"/>
        <family val="2"/>
        <scheme val="minor"/>
      </rPr>
      <t>BANHEIRO LOCADO PARA CONSTRUTORA MONTE VERDE - OBRA DA LAÍS.</t>
    </r>
  </si>
  <si>
    <t>RECOLHER 25/07</t>
  </si>
  <si>
    <t>003084.</t>
  </si>
  <si>
    <t>15/06/2024 á 14/07/2024</t>
  </si>
  <si>
    <t>003085.</t>
  </si>
  <si>
    <t>14/06/2024 Á 13/07/2024</t>
  </si>
  <si>
    <t>RECOLHIDO 02/08</t>
  </si>
  <si>
    <t>003086.</t>
  </si>
  <si>
    <t>09/06/2024 Á 08/07/2024</t>
  </si>
  <si>
    <t>003087.</t>
  </si>
  <si>
    <t>003088.</t>
  </si>
  <si>
    <t>27/06/2024      26/07/2024</t>
  </si>
  <si>
    <t>003089.</t>
  </si>
  <si>
    <t>05/06/2024 á 04/07/2024</t>
  </si>
  <si>
    <t>003090.</t>
  </si>
  <si>
    <t>ESTÂNCIA DO SERENO, PTB.</t>
  </si>
  <si>
    <t>003091.</t>
  </si>
  <si>
    <t>02/06/2024      01/07/2024</t>
  </si>
  <si>
    <t>04/06/2024      03/07/2024</t>
  </si>
  <si>
    <t>003092.</t>
  </si>
  <si>
    <t>07/06/2024 06/07/2024</t>
  </si>
  <si>
    <t>003093.</t>
  </si>
  <si>
    <t>01/07/2024 á 30/07/2024</t>
  </si>
  <si>
    <t>003094.</t>
  </si>
  <si>
    <t>18/06/2024 Á 17/07/2024</t>
  </si>
  <si>
    <t>003095.</t>
  </si>
  <si>
    <t>03/06/2024 Á 02/07/2024</t>
  </si>
  <si>
    <t>RECOLHIDO NÃO COBRAR MAIS</t>
  </si>
  <si>
    <t>003096.</t>
  </si>
  <si>
    <t>21/07/2024 á 20/08/2024</t>
  </si>
  <si>
    <t>003097.</t>
  </si>
  <si>
    <t>06/08/2024 á 05/09/2024</t>
  </si>
  <si>
    <t>003098.</t>
  </si>
  <si>
    <t>VL 30                                             OBRA ALEXANDRE</t>
  </si>
  <si>
    <t>003099.</t>
  </si>
  <si>
    <t>RECOLHIMENTO 21/08</t>
  </si>
  <si>
    <t>003100.</t>
  </si>
  <si>
    <t>22/07/2024 á 21/08/2024</t>
  </si>
  <si>
    <t>003101.</t>
  </si>
  <si>
    <t>RECOLHER 29/08 MAZINHO</t>
  </si>
  <si>
    <t>003102.</t>
  </si>
  <si>
    <t>003103.</t>
  </si>
  <si>
    <t>CONTAGEM, CC 355, OBRAS RAQUEL.</t>
  </si>
  <si>
    <t>003104.</t>
  </si>
  <si>
    <t>11/08/2024 á 10/09/2024</t>
  </si>
  <si>
    <t>003105.</t>
  </si>
  <si>
    <t>25/07/2024 á 24/08/2024</t>
  </si>
  <si>
    <t>RUA SINOPE, 267, VALE DO SOL, NOVA LIMA-MG.</t>
  </si>
  <si>
    <t>003106.</t>
  </si>
  <si>
    <t>15/07/2024 á 14/08/2024</t>
  </si>
  <si>
    <t>LEVI DINIZ</t>
  </si>
  <si>
    <t>SOLICITAÇÃO MAZINHO/  SÔNIA</t>
  </si>
  <si>
    <t>14/08/2024 á 13/09/2024</t>
  </si>
  <si>
    <t>VL 30</t>
  </si>
  <si>
    <t>RECOLHIMENTO ÚLTIMO PERÍODO DE COBRANÇA. SOLICITAÇÃO SÔNIA</t>
  </si>
  <si>
    <t>003108.</t>
  </si>
  <si>
    <t>13/08/2024 á 12/09/2024</t>
  </si>
  <si>
    <t>RUA SANTO ANTÔNIO, BERNARDO MONTEIRO.</t>
  </si>
  <si>
    <t>RUA SÍRIUS, 89-17, CIDADE VERDE-BETIM</t>
  </si>
  <si>
    <t>003110.</t>
  </si>
  <si>
    <t>Av. Quinze de Novembro, 211 - Petrópolis, Betim - MG, 32655-122</t>
  </si>
  <si>
    <t>003153.</t>
  </si>
  <si>
    <t>12/08/2024 á 11/09/2024</t>
  </si>
  <si>
    <r>
      <rPr>
        <b/>
        <sz val="11"/>
        <color theme="1"/>
        <rFont val="Calibri"/>
        <family val="2"/>
        <scheme val="minor"/>
      </rPr>
      <t xml:space="preserve">VL 12   </t>
    </r>
    <r>
      <rPr>
        <b/>
        <sz val="11"/>
        <color rgb="FFFF0000"/>
        <rFont val="Calibri"/>
        <family val="2"/>
        <scheme val="minor"/>
      </rPr>
      <t xml:space="preserve">                                OBRA ALEXANDRE</t>
    </r>
  </si>
  <si>
    <t>RECOLHER 20/09</t>
  </si>
  <si>
    <t>003152.</t>
  </si>
  <si>
    <r>
      <rPr>
        <b/>
        <sz val="11"/>
        <color rgb="FF202124"/>
        <rFont val="Calibri"/>
        <family val="2"/>
        <scheme val="minor"/>
      </rPr>
      <t xml:space="preserve">VL 30                                                        </t>
    </r>
    <r>
      <rPr>
        <b/>
        <sz val="11"/>
        <color rgb="FFFF0000"/>
        <rFont val="Calibri"/>
        <family val="2"/>
        <scheme val="minor"/>
      </rPr>
      <t>BANHEIRO LOCADO PARA CONSTRUTORA MONTE VERDE - OBRA DA LAÍS.</t>
    </r>
  </si>
  <si>
    <t>RECOLHER 31/07</t>
  </si>
  <si>
    <t>003154.</t>
  </si>
  <si>
    <t>14/07/2024 Á 31/07/2024</t>
  </si>
  <si>
    <t>003155.</t>
  </si>
  <si>
    <t>09/07/2024 Á 02/08/2024</t>
  </si>
  <si>
    <t>003156.</t>
  </si>
  <si>
    <t>003157.</t>
  </si>
  <si>
    <t>27/07/2024      26/08/2024</t>
  </si>
  <si>
    <t>003158.</t>
  </si>
  <si>
    <t>05/07/2024 á 04/08/2024</t>
  </si>
  <si>
    <t>003159.</t>
  </si>
  <si>
    <t>003160.</t>
  </si>
  <si>
    <t>02/07/2024      01/08/2024</t>
  </si>
  <si>
    <t>04/07/2024      03/08/2024</t>
  </si>
  <si>
    <t>003161.</t>
  </si>
  <si>
    <t>07/07/2024 06/08/2024</t>
  </si>
  <si>
    <t>RECOLHIDO 20/09/2024</t>
  </si>
  <si>
    <t>003162.</t>
  </si>
  <si>
    <t>01/08/2024 á 30/08/2024</t>
  </si>
  <si>
    <t>003163.</t>
  </si>
  <si>
    <t>18/07/2024 Á 17/08/2024</t>
  </si>
  <si>
    <t>003164.</t>
  </si>
  <si>
    <t>03/07/2024 Á 02/08/2024</t>
  </si>
  <si>
    <t>003165.</t>
  </si>
  <si>
    <t>06/09/2024 á 05/10/2024</t>
  </si>
  <si>
    <t>003166.</t>
  </si>
  <si>
    <t>21/08/2024 á 20/09/2024</t>
  </si>
  <si>
    <t>003168.</t>
  </si>
  <si>
    <t>003169.</t>
  </si>
  <si>
    <t>003170.</t>
  </si>
  <si>
    <t>003171.</t>
  </si>
  <si>
    <t>25/08/2024 á 24/09/2024</t>
  </si>
  <si>
    <t>003172.</t>
  </si>
  <si>
    <t>15/08/2024 á 14/09/2024</t>
  </si>
  <si>
    <t>ESTELA DINIZ MACEDO.</t>
  </si>
  <si>
    <t>003173.</t>
  </si>
  <si>
    <t>14/09/2024 á 13/10/2024</t>
  </si>
  <si>
    <t>003174.</t>
  </si>
  <si>
    <t>003175.</t>
  </si>
  <si>
    <t>003176.</t>
  </si>
  <si>
    <t>03/09/2024 á 02/10/2024</t>
  </si>
  <si>
    <t>R. Artur Trindade, 1028-1096 - Santa Lucia, Betim - MG</t>
  </si>
  <si>
    <t>003177.</t>
  </si>
  <si>
    <t>01/08/2024 á 31/08/2024</t>
  </si>
  <si>
    <t>JARDIM LAGUNA - ENCARREGADO TUTI: 99117-4642</t>
  </si>
  <si>
    <t>003178.</t>
  </si>
  <si>
    <t>28/08/2024 á 27/09/2024</t>
  </si>
  <si>
    <t>R. DE SÍRIUS, 321, CIDADE VERDE,BETIM.</t>
  </si>
  <si>
    <t>recolher 30/09</t>
  </si>
  <si>
    <t>003179.</t>
  </si>
  <si>
    <t>R. Miquelina Dias Menezes, 390 - Parque Xangri-Lá</t>
  </si>
  <si>
    <t>003151.</t>
  </si>
  <si>
    <t>RUA PALMEIRAS, 79, B: TIJUCA.</t>
  </si>
  <si>
    <t>003263.</t>
  </si>
  <si>
    <t>12/09/2024 á 11/10/2024</t>
  </si>
  <si>
    <t>RECOLHER 20/09 ÚLTIMO PERÍODO DE LOCAÇÃO.</t>
  </si>
  <si>
    <t>003236.</t>
  </si>
  <si>
    <t>11/09/2024 á 20/09/2024</t>
  </si>
  <si>
    <t>003237.</t>
  </si>
  <si>
    <t>27/08/2024      26/09/2024</t>
  </si>
  <si>
    <t>003238.</t>
  </si>
  <si>
    <t>05/08/2024 á 04/09/2024</t>
  </si>
  <si>
    <t>003239.</t>
  </si>
  <si>
    <t>003240.</t>
  </si>
  <si>
    <t>02/08/2024      01/09/2024</t>
  </si>
  <si>
    <t>003241.</t>
  </si>
  <si>
    <t>07/08/2024 06/09/2024</t>
  </si>
  <si>
    <t>003242.</t>
  </si>
  <si>
    <t>01/09/2024 á 20/09/2024</t>
  </si>
  <si>
    <t>003243.</t>
  </si>
  <si>
    <t>18/08/2024 Á 17/09/2024</t>
  </si>
  <si>
    <t>003244.</t>
  </si>
  <si>
    <t>03/08/2024 Á 02/09/2024</t>
  </si>
  <si>
    <t>003245.</t>
  </si>
  <si>
    <t>06/10/2024 á 05/11/2024</t>
  </si>
  <si>
    <t>003246.</t>
  </si>
  <si>
    <t>21/09/2024 á 20/10/2024</t>
  </si>
  <si>
    <t>003247.</t>
  </si>
  <si>
    <t>03/09/2024 á 04/10/2024</t>
  </si>
  <si>
    <t>RUA DA MATA ,BAIRRO PRAIA ,OBRA ISRAEL ,CENTRO DE CUSTO 360</t>
  </si>
  <si>
    <t>003248.</t>
  </si>
  <si>
    <t>11/09/2024 á 10/10/2024</t>
  </si>
  <si>
    <t>003249.</t>
  </si>
  <si>
    <t>25/09/2024 á 24/10/2024</t>
  </si>
  <si>
    <t>003250.</t>
  </si>
  <si>
    <t>15/09/2024 á 14/10/2024</t>
  </si>
  <si>
    <t>RECOLHER 11/10 SOLICITAÇÃO MAZINHO/  SÔNIA</t>
  </si>
  <si>
    <t>14/10/2024 á 13/11/2024</t>
  </si>
  <si>
    <t>003251.</t>
  </si>
  <si>
    <t>003252.</t>
  </si>
  <si>
    <t>003253.</t>
  </si>
  <si>
    <t>03/10/2024 á 02/11/2024</t>
  </si>
  <si>
    <t>003254.</t>
  </si>
  <si>
    <t>01/09/2024 á 31/10/2024</t>
  </si>
  <si>
    <t>RUA EUCALIPITO ,ARVOREDO ,ENCARREGADO WELLINGTON , CENTRO DE CUSTO 357</t>
  </si>
  <si>
    <t>003255.</t>
  </si>
  <si>
    <t>28/09/2024 á 27/10/2024</t>
  </si>
  <si>
    <t>003256.</t>
  </si>
  <si>
    <t>RUA IPU ,NOVO PROGRESSO ,ENCARREGADO WELLINGTON. CENTRO DE CUSTO 357</t>
  </si>
  <si>
    <t>003257.</t>
  </si>
  <si>
    <t>27/09/2024 á 26/10/2024</t>
  </si>
  <si>
    <t>RUA GONÇALVES, VILA VERDE, BETIM - MG,ENCARREGADO ADRIANO</t>
  </si>
  <si>
    <t>003259.</t>
  </si>
  <si>
    <t>11/09/2024 á 10/11/2024</t>
  </si>
  <si>
    <t>R. Pequi, 119 - Jardim Laguna, Contagem - MG, 32140-180</t>
  </si>
  <si>
    <t xml:space="preserve">ENCARREGADO ADRIANO- SOLICTAÇÃO DA SÔNIA                       </t>
  </si>
  <si>
    <t>003262.</t>
  </si>
  <si>
    <t>10/09/2024 á 09/10/2024</t>
  </si>
  <si>
    <t>R. Geraldo José Vieira, 106-188 - Citrolândia, Betim - MG, 32641-542</t>
  </si>
  <si>
    <t>R$ UNITÁRIO</t>
  </si>
  <si>
    <t>R$                      TOTAL</t>
  </si>
  <si>
    <t>CONTATO ENCARREGADO DA OBRA</t>
  </si>
  <si>
    <r>
      <rPr>
        <b/>
        <sz val="10"/>
        <color rgb="FFFFFF00"/>
        <rFont val="Calibri"/>
        <family val="2"/>
        <scheme val="minor"/>
      </rPr>
      <t xml:space="preserve">RECOLHIDO CITROLÂNDIA: 23/10                                   ENCARREGADO EDEVALDO                                </t>
    </r>
    <r>
      <rPr>
        <b/>
        <sz val="10"/>
        <color theme="1"/>
        <rFont val="Calibri"/>
        <family val="2"/>
        <scheme val="minor"/>
      </rPr>
      <t>CENTRO DE CUSTO 347</t>
    </r>
  </si>
  <si>
    <t>1- 003341.     2- 003342.</t>
  </si>
  <si>
    <t>01- 10/10/2024 á 23/10/2024                                 02- 31/10/2024 á 30/11/2024</t>
  </si>
  <si>
    <t>1- RUA GERALDO JOSÉ VIEIRA, 406-188 CITROLÂNDIA, BETIM.                                                                                                                        2 - MINGUAL NOVA LIMA.</t>
  </si>
  <si>
    <t>CONSTRUTORA DRAGAGEM PARAOPEBA LTDA, 18.322.925/0001-14,RODOVIA BR 040, KM 523.5, LOTE: A, B: GUANABARA, CONTAGEM-MG, CEP: 32.150.340. SOLICITADO PELA SÔNIA.                                                                                   STEPHANNE: 97180-4294 / 3394-6347.                                                  administrativo3@grupoparaopeba.com.br</t>
  </si>
  <si>
    <r>
      <rPr>
        <b/>
        <sz val="10"/>
        <color rgb="FFFFFF00"/>
        <rFont val="Calibri"/>
        <family val="2"/>
        <scheme val="minor"/>
      </rPr>
      <t xml:space="preserve">RECOLHIDO: 19/11                                   ENCARREGARO: WELIGTON                                </t>
    </r>
    <r>
      <rPr>
        <b/>
        <sz val="10"/>
        <color theme="1"/>
        <rFont val="Calibri"/>
        <family val="2"/>
        <scheme val="minor"/>
      </rPr>
      <t>CENTRO DE CUSTO 357</t>
    </r>
  </si>
  <si>
    <t>1- 003344.    2- 003345.</t>
  </si>
  <si>
    <t>01- 01/10/2024 á 30/10/2024                                 02- 07/10/2024 á 06/11/2024</t>
  </si>
  <si>
    <t>01-RUA MULUNGU, 758, ELDORADO.                                                   02-RUA GAXUPÉ, B: PARQUE SÃO JOÃO.</t>
  </si>
  <si>
    <r>
      <rPr>
        <b/>
        <sz val="11"/>
        <color rgb="FFFFFF00"/>
        <rFont val="Calibri"/>
        <family val="2"/>
        <scheme val="minor"/>
      </rPr>
      <t xml:space="preserve">                                 ENCARREGADO : TALISSON </t>
    </r>
    <r>
      <rPr>
        <b/>
        <sz val="11"/>
        <color theme="1"/>
        <rFont val="Calibri"/>
        <family val="2"/>
        <scheme val="minor"/>
      </rPr>
      <t>CENTRO DE CUSTO - 6</t>
    </r>
  </si>
  <si>
    <t>003346.</t>
  </si>
  <si>
    <t>07/09/2024 á  06/10/2024</t>
  </si>
  <si>
    <t xml:space="preserve"> BANHEIRO DA FAZENDA HZ - CURVELO</t>
  </si>
  <si>
    <r>
      <rPr>
        <b/>
        <sz val="11"/>
        <color rgb="FFFFFF00"/>
        <rFont val="Calibri"/>
        <family val="2"/>
        <scheme val="minor"/>
      </rPr>
      <t xml:space="preserve">                              ENCARREGADO : RODRIGO                           </t>
    </r>
    <r>
      <rPr>
        <b/>
        <sz val="11"/>
        <color theme="1"/>
        <rFont val="Calibri"/>
        <family val="2"/>
        <scheme val="minor"/>
      </rPr>
      <t>CENTRO DE CUSTO - 360</t>
    </r>
  </si>
  <si>
    <t>1- 003347.    2-003348.</t>
  </si>
  <si>
    <t>1- 24/09/2024 á 23/10/2024                     2- 12/11 á 11/12/2024</t>
  </si>
  <si>
    <t xml:space="preserve"> 1- RUA PEROBAS, BAIRRO: PERÓBAS, CONTAGEM.                                         2- RUA BUGANVILLE, 1667, ELDORADO.</t>
  </si>
  <si>
    <t>1.300                  980</t>
  </si>
  <si>
    <r>
      <rPr>
        <b/>
        <sz val="11"/>
        <color rgb="FFFFFF00"/>
        <rFont val="Calibri"/>
        <family val="2"/>
        <scheme val="minor"/>
      </rPr>
      <t xml:space="preserve">                                         ENCARREGADO: IURE/ MAGNO, </t>
    </r>
    <r>
      <rPr>
        <b/>
        <sz val="11"/>
        <color theme="1"/>
        <rFont val="Calibri"/>
        <family val="2"/>
        <scheme val="minor"/>
      </rPr>
      <t xml:space="preserve">CENTRO DE CUSTO: 361, </t>
    </r>
  </si>
  <si>
    <t>1- 003349.      2- 003350.      3- 003351.     4-003352.      5-003353</t>
  </si>
  <si>
    <t>1- 21/09/2024 á 20/10/2024      2- 10/09/2024 á 09/10/2024      3- 17/09/2024 á 16/10/2024      4-21/10/2024 á 20/11/2024                 5-20/09/2024 á 19/10/2024</t>
  </si>
  <si>
    <t>1- RUA 24, SÃO GENARO.                                                                                2- RUA CANTEIRO JUSTINÓPOLIS .                                                                 3- RUA MARIA HELENA, B: CÉU ANIL.                                                                4- RUA SÃO LUCAS, 779, B: AGUA BRANCA, CONTAGEM, OBRA DO HELMUT.                                                                                                     5- RUA EDUARDO PIERRE MORALES.</t>
  </si>
  <si>
    <t>1.300         1.300                    1.300             800                    1.300</t>
  </si>
  <si>
    <r>
      <rPr>
        <b/>
        <sz val="10"/>
        <color theme="1"/>
        <rFont val="Calibri"/>
        <family val="2"/>
        <scheme val="minor"/>
      </rPr>
      <t xml:space="preserve">                                    CENTRO DE CUSTO: 352   </t>
    </r>
    <r>
      <rPr>
        <b/>
        <sz val="10"/>
        <color rgb="FFFFFF00"/>
        <rFont val="Calibri"/>
        <family val="2"/>
        <scheme val="minor"/>
      </rPr>
      <t xml:space="preserve">                              ENCARREGADO: ADRIANO</t>
    </r>
  </si>
  <si>
    <t>003354.</t>
  </si>
  <si>
    <t>18/09/2024 Á 17/10/2024</t>
  </si>
  <si>
    <t>CONDOMINIO VALE DO SOL, RUA ELARA</t>
  </si>
  <si>
    <t xml:space="preserve">                                   ENCARREGADO:                                  ISRAEL</t>
  </si>
  <si>
    <t>003355.</t>
  </si>
  <si>
    <t>12/10/2024 á 11/11/2024</t>
  </si>
  <si>
    <t>RUA MARIA DE LOURDES FRIAS, B: COLONIAL.</t>
  </si>
  <si>
    <r>
      <rPr>
        <b/>
        <sz val="10"/>
        <color rgb="FFFFFF00"/>
        <rFont val="Calibri"/>
        <family val="2"/>
        <scheme val="minor"/>
      </rPr>
      <t xml:space="preserve">                                    </t>
    </r>
    <r>
      <rPr>
        <b/>
        <sz val="10"/>
        <color theme="1"/>
        <rFont val="Calibri"/>
        <family val="2"/>
        <scheme val="minor"/>
      </rPr>
      <t xml:space="preserve">CENTRO DE CUSTO: 358    </t>
    </r>
    <r>
      <rPr>
        <b/>
        <sz val="10"/>
        <color rgb="FFFFFF00"/>
        <rFont val="Calibri"/>
        <family val="2"/>
        <scheme val="minor"/>
      </rPr>
      <t xml:space="preserve">                             ENCARREGADO: ALEXANDRE</t>
    </r>
  </si>
  <si>
    <t>003356.</t>
  </si>
  <si>
    <r>
      <rPr>
        <b/>
        <sz val="11"/>
        <color theme="1"/>
        <rFont val="Calibri"/>
        <family val="2"/>
        <scheme val="minor"/>
      </rPr>
      <t xml:space="preserve">VL 15  </t>
    </r>
    <r>
      <rPr>
        <b/>
        <sz val="11"/>
        <color rgb="FFFF0000"/>
        <rFont val="Calibri"/>
        <family val="2"/>
        <scheme val="minor"/>
      </rPr>
      <t xml:space="preserve">                                     </t>
    </r>
  </si>
  <si>
    <t>CONSTRUTORA DRAGAGEM PARAOPEBA LTDA, 18.322.925/0001-14,RODOVIA BR 040, KM 523.5, LOTE: A, B: GUANABARA, CONTAGEM-MG, CEP: 32.150.340. SOLICITADO PELA SÔNIA.                                                                                   STEPHANNE: 97180-4294 / 3394-6347.        administrativo@grupoparaopeba.com.br                                           administrativo3@grupoparaopeba.com.br</t>
  </si>
  <si>
    <r>
      <rPr>
        <b/>
        <sz val="10"/>
        <color theme="1"/>
        <rFont val="Calibri"/>
        <family val="2"/>
        <scheme val="minor"/>
      </rPr>
      <t xml:space="preserve">                                       RECOLHER 25/11, COND. VALE DO SOL.</t>
    </r>
    <r>
      <rPr>
        <b/>
        <sz val="10"/>
        <color rgb="FFFFFF00"/>
        <rFont val="Calibri"/>
        <family val="2"/>
        <scheme val="minor"/>
      </rPr>
      <t xml:space="preserve">   ENCARREGADO: DÉMETRIUS, </t>
    </r>
    <r>
      <rPr>
        <b/>
        <sz val="10"/>
        <color theme="1"/>
        <rFont val="Calibri"/>
        <family val="2"/>
        <scheme val="minor"/>
      </rPr>
      <t xml:space="preserve">CENTRO DE CUSTO: 352 </t>
    </r>
  </si>
  <si>
    <t>1- 003357.      2- 003358.</t>
  </si>
  <si>
    <t>1- 11/10/2024 á 10/11/2024                      2- 15/10/2024 á 14/11/2024</t>
  </si>
  <si>
    <t>1- CONDOMINIO VALE DO SOL , RUA DESPINA, 133                                        2 - GROTA FRIA, MACACOS.</t>
  </si>
  <si>
    <t>CONSTRUTORA DRAGAGEM PARAOPEBA LTDA, 18.322.925/0001-14,RODOVIA BR 040, KM 523.5, LOTE: A, B: GUANABARA, CONTAGEM-MG, CEP: 32.150.340. SOLICITADO PELA SÔNIA.                                                                                   STEPHANNE: 97180-4294 / 3394-6347.     administrativo@grupoparaopeba.com.br                                                   administrativo3@grupoparaopeba.com.br</t>
  </si>
  <si>
    <r>
      <rPr>
        <b/>
        <sz val="10"/>
        <color rgb="FFFFFF00"/>
        <rFont val="Calibri"/>
        <family val="2"/>
        <scheme val="minor"/>
      </rPr>
      <t xml:space="preserve">                                     ENCARREGADO: LÚIZ MARCELO, </t>
    </r>
    <r>
      <rPr>
        <b/>
        <sz val="10"/>
        <color theme="1"/>
        <rFont val="Calibri"/>
        <family val="2"/>
        <scheme val="minor"/>
      </rPr>
      <t xml:space="preserve">CONSTRUTORA MONTE VERDE, CENTRO DE CUSTO: 352 </t>
    </r>
  </si>
  <si>
    <t xml:space="preserve">1- 003359.     2- 003360.     3- 003361   </t>
  </si>
  <si>
    <t>1- 17/10/2024 á 16/11/2024                2- 03/09/2024 Á 02/10/2024                3- 06/11/2024 á 05/12/2024</t>
  </si>
  <si>
    <t>1- CONDOMINIO VALE DO SOL, RUA CARME , 140.                                 2- CONDOMINIO VALE DO SOL, AVENIDA QUINTA , 403.                  3- CONDOMINIO VALE DO SOL, AVENIDA QUINTA , 108.</t>
  </si>
  <si>
    <r>
      <rPr>
        <b/>
        <sz val="9"/>
        <color rgb="FFFFFF00"/>
        <rFont val="Calibri"/>
        <family val="2"/>
        <scheme val="minor"/>
      </rPr>
      <t xml:space="preserve">                                      ENCARREGADO: WARLEY  ,                                </t>
    </r>
    <r>
      <rPr>
        <b/>
        <sz val="9"/>
        <color theme="1"/>
        <rFont val="Calibri"/>
        <family val="2"/>
        <scheme val="minor"/>
      </rPr>
      <t>CENTRO DE CUSTO: 352.</t>
    </r>
  </si>
  <si>
    <t>003362.</t>
  </si>
  <si>
    <t>05/09/2024 á 04/10/2024</t>
  </si>
  <si>
    <t>MACACOS</t>
  </si>
  <si>
    <t>CONSTRUTORA DRAGAGEM PARAOPEBA LTDA, 18.322.925/0001-14,RODOVIA BR 040, KM 523.5, LOTE: A, B: GUANABARA, CONTAGEM-MG, CEP: 32.150.340. SOLICITADO PELA SÔNIA.                                                                                   STEPHANNE: 97180-4294 / 3394-6347.   administrativo@grupoparaopeba.com.br                                                     administrativo3@grupoparaopeba.com.br</t>
  </si>
  <si>
    <t xml:space="preserve">                                  ENGENHEIRO FÁBIO                                                           </t>
  </si>
  <si>
    <t xml:space="preserve">003363. 003364. </t>
  </si>
  <si>
    <t>1- 25/10/2024 á 24/11/2024                2- 14/10/2024 á 13/11/2024</t>
  </si>
  <si>
    <t>1- BETIM                                                                                                        2- SARZEDO                                                                                                            3- SARZEDO</t>
  </si>
  <si>
    <r>
      <rPr>
        <b/>
        <sz val="10"/>
        <color rgb="FFFFFF00"/>
        <rFont val="Calibri"/>
        <family val="2"/>
        <scheme val="minor"/>
      </rPr>
      <t xml:space="preserve">                                  ENCARREGADO IGOR/ RAFAEL                </t>
    </r>
    <r>
      <rPr>
        <b/>
        <sz val="10"/>
        <color theme="1"/>
        <rFont val="Calibri"/>
        <family val="2"/>
        <scheme val="minor"/>
      </rPr>
      <t xml:space="preserve">CONSTRUTORA MONTE.  </t>
    </r>
  </si>
  <si>
    <t>1- 003366 .          2- 003367.      3- 003365.</t>
  </si>
  <si>
    <t>03/10/2024 á 02/11/2024 21/10/2024 á 20/11/2024 21/10/2024 á 20/11/2024</t>
  </si>
  <si>
    <t>1- RUA JOÃO DA MATA , B: COLONIAL, 107 A 220.                                     2- Av João César de Oliveira Novo Eldorado.
Encima do viaduto (próximo ao hospital municipal)                         3- RUA EUCALIPITO, 921, B: ARVOREDO.</t>
  </si>
  <si>
    <t xml:space="preserve">1.300                     980                         980    </t>
  </si>
  <si>
    <t>RAFAEL: 98783-0965                           IGOR: 99652-5161</t>
  </si>
  <si>
    <r>
      <rPr>
        <b/>
        <sz val="10"/>
        <color rgb="FFFFFF00"/>
        <rFont val="Calibri"/>
        <family val="2"/>
        <scheme val="minor"/>
      </rPr>
      <t>RECOLHER 03/12                                    ENCARREGADO ANTÔNIO.</t>
    </r>
    <r>
      <rPr>
        <b/>
        <sz val="10"/>
        <color theme="1"/>
        <rFont val="Calibri"/>
        <family val="2"/>
        <scheme val="minor"/>
      </rPr>
      <t xml:space="preserve">  </t>
    </r>
  </si>
  <si>
    <t>003368.</t>
  </si>
  <si>
    <t>21/10/2024 á 20/11/2024</t>
  </si>
  <si>
    <t>OURO VELHO MANSÕES.</t>
  </si>
  <si>
    <r>
      <rPr>
        <b/>
        <sz val="10"/>
        <color rgb="FFFFFF00"/>
        <rFont val="Calibri"/>
        <family val="2"/>
        <scheme val="minor"/>
      </rPr>
      <t xml:space="preserve">                                    ENCARREGADO TUTE.</t>
    </r>
    <r>
      <rPr>
        <b/>
        <sz val="10"/>
        <color theme="1"/>
        <rFont val="Calibri"/>
        <family val="2"/>
        <scheme val="minor"/>
      </rPr>
      <t xml:space="preserve">  </t>
    </r>
  </si>
  <si>
    <t>003369.</t>
  </si>
  <si>
    <t>01/10/2024 á 30/10/2024</t>
  </si>
  <si>
    <t>1- BAIRRO JARDIM LAGUNA                                                                     2- BAIRRO JARDIM LAGUNA                                                                        3- BAIRRO JARDIM LAGUNA</t>
  </si>
  <si>
    <t>CONSTRUTORA DRAGAGEM PARAOPEBA LTDA, 18.322.925/0001-14,RODOVIA BR 040, KM 523.5, LOTE: A, B: GUANABARA, CONTAGEM-MG, CEP: 32.150.340. SOLICITADO PELA SÔNIA.                                                                                   STEPHANNE: 97180-4294 / 3394-6347.        administrativo@grupoparaopeba.com.br                                                administrativo3@grupoparaopeba.com.br</t>
  </si>
  <si>
    <r>
      <rPr>
        <b/>
        <sz val="10"/>
        <color rgb="FFFFFF00"/>
        <rFont val="Calibri"/>
        <family val="2"/>
        <scheme val="minor"/>
      </rPr>
      <t xml:space="preserve">                                    ENCARREGADO LAURO, CONSTRUTORA MONTE VERDE.</t>
    </r>
    <r>
      <rPr>
        <b/>
        <sz val="10"/>
        <color theme="1"/>
        <rFont val="Calibri"/>
        <family val="2"/>
        <scheme val="minor"/>
      </rPr>
      <t xml:space="preserve">  </t>
    </r>
  </si>
  <si>
    <t>003370.</t>
  </si>
  <si>
    <t>MACACOS.</t>
  </si>
  <si>
    <t>CONSTRUTORA DRAGAGEM PARAOPEBA LTDA, 18.322.925/0001-14,RODOVIA BR 040, KM 523.5, LOTE: A, B: GUANABARA, CONTAGEM-MG, CEP: 32.150.340. SOLICITADO PELA SÔNIA.                                                                                   STEPHANNE: 97180-4294 / 3394-6347.       administrativo@grupoparaopeba.com.br                                                 administrativo3@grupoparaopeba.com.br</t>
  </si>
  <si>
    <r>
      <rPr>
        <b/>
        <sz val="10"/>
        <color rgb="FFFFFF00"/>
        <rFont val="Calibri"/>
        <family val="2"/>
        <scheme val="minor"/>
      </rPr>
      <t xml:space="preserve">RECOLHIDO CITROLÂNDIA: 23/10                                   ENCARREGADO ADRIANO                                </t>
    </r>
    <r>
      <rPr>
        <b/>
        <sz val="10"/>
        <color theme="1"/>
        <rFont val="Calibri"/>
        <family val="2"/>
        <scheme val="minor"/>
      </rPr>
      <t>CENTRO DE CUSTO 347</t>
    </r>
  </si>
  <si>
    <t>1- 83.             2- 84.</t>
  </si>
  <si>
    <t>01- 10/11/2024 á 23/12/2024                                 02- 31/11/2024 á 30/12/2024</t>
  </si>
  <si>
    <t>CONSTRUTORA DRAGAGEM PARAOPEBA LTDA, 18.322.925/0001-14,RODOVIA BR 040, KM 523.5, LOTE: A, B: GUANABARA, CONTAGEM-MG, CEP: 32.150.340. SOLICITADO PELA SÔNIA.                                                                                   STEPHANNE: 97180-4294 / 3394-6347.                                                  administrativo@grupoparaopeba.com.br</t>
  </si>
  <si>
    <r>
      <rPr>
        <b/>
        <sz val="10"/>
        <color rgb="FFFFFF00"/>
        <rFont val="Calibri"/>
        <family val="2"/>
        <scheme val="minor"/>
      </rPr>
      <t xml:space="preserve">RECOLHIDO: 2pç  19/12                                   ENCARREGARO: WELIGTON                                </t>
    </r>
    <r>
      <rPr>
        <b/>
        <sz val="10"/>
        <color theme="1"/>
        <rFont val="Calibri"/>
        <family val="2"/>
        <scheme val="minor"/>
      </rPr>
      <t>CENTRO DE CUSTO 357</t>
    </r>
  </si>
  <si>
    <t>1- 85                    2- 86.</t>
  </si>
  <si>
    <t>01- 01/11/2024 á 30/12/2024                                 02- 07/11/2024 á 06/12/2024</t>
  </si>
  <si>
    <t>82.</t>
  </si>
  <si>
    <t>07/10/2024 á  06/11/2024</t>
  </si>
  <si>
    <r>
      <rPr>
        <b/>
        <sz val="11"/>
        <color rgb="FFFFFF00"/>
        <rFont val="Calibri"/>
        <family val="2"/>
        <scheme val="minor"/>
      </rPr>
      <t xml:space="preserve">RECOLHER 1PÇ 19/12/24                              ENCARREGADO : RODRIGO                           </t>
    </r>
    <r>
      <rPr>
        <b/>
        <sz val="11"/>
        <color theme="1"/>
        <rFont val="Calibri"/>
        <family val="2"/>
        <scheme val="minor"/>
      </rPr>
      <t>CENTRO DE CUSTO - 360</t>
    </r>
  </si>
  <si>
    <t>1- 87.              2-88.</t>
  </si>
  <si>
    <t>1- 24/10/2024 á 23/11/2024                     2- 12/12 á 11/01/2024</t>
  </si>
  <si>
    <r>
      <rPr>
        <b/>
        <sz val="11"/>
        <color rgb="FFFFFF00"/>
        <rFont val="Calibri"/>
        <family val="2"/>
        <scheme val="minor"/>
      </rPr>
      <t xml:space="preserve">RECOLHEU 1 PÇ 12/12(VENEZA)                                         ENCARREGADO: IURE/ MAGNO, </t>
    </r>
    <r>
      <rPr>
        <b/>
        <sz val="11"/>
        <color theme="1"/>
        <rFont val="Calibri"/>
        <family val="2"/>
        <scheme val="minor"/>
      </rPr>
      <t xml:space="preserve">CENTRO DE CUSTO: 361, </t>
    </r>
  </si>
  <si>
    <t>1- 89.             2- 90                3-91                4-92.              5-93</t>
  </si>
  <si>
    <t>1- 21/10/2024 á 20/11/2024      2- 10/10/2024 á 09/11/2024      3- 17/10/2024 á 16/11/2024      4-21/11/2024 á 20/12/2024                 5-20/10/2024 á 19/11/2024</t>
  </si>
  <si>
    <t>81.</t>
  </si>
  <si>
    <t>18/10/2024 Á 17/11/2024</t>
  </si>
  <si>
    <t>RECOLHER 19/12/24                                   ENCARREGADO:                                  EDEVALDO</t>
  </si>
  <si>
    <t>94.</t>
  </si>
  <si>
    <t>12/11/2024 á 11/12/2024</t>
  </si>
  <si>
    <r>
      <rPr>
        <b/>
        <sz val="10"/>
        <color rgb="FFFFFF00"/>
        <rFont val="Calibri"/>
        <family val="2"/>
        <scheme val="minor"/>
      </rPr>
      <t xml:space="preserve">RECOLHER 19/12/24                                    </t>
    </r>
    <r>
      <rPr>
        <b/>
        <sz val="10"/>
        <color theme="1"/>
        <rFont val="Calibri"/>
        <family val="2"/>
        <scheme val="minor"/>
      </rPr>
      <t xml:space="preserve">CENTRO DE CUSTO: 358    </t>
    </r>
    <r>
      <rPr>
        <b/>
        <sz val="10"/>
        <color rgb="FFFFFF00"/>
        <rFont val="Calibri"/>
        <family val="2"/>
        <scheme val="minor"/>
      </rPr>
      <t xml:space="preserve">                             ENCARREGADO: ALEXANDRE</t>
    </r>
  </si>
  <si>
    <t xml:space="preserve">CONSTRUTORA DRAGAGEM PARAOPEBA LTDA, 18.322.925/0001-14,RODOVIA BR 040, KM 523.5, LOTE: A, B: GUANABARA, CONTAGEM-MG, CEP: 32.150.340. SOLICITADO PELA SÔNIA.                                                                                   STEPHANNE: 97180-4294 / 3394-6347.        administrativo@grupoparaopeba.com.br                                           </t>
  </si>
  <si>
    <r>
      <rPr>
        <b/>
        <sz val="10"/>
        <color rgb="FFFFFF00"/>
        <rFont val="Calibri"/>
        <family val="2"/>
        <scheme val="minor"/>
      </rPr>
      <t xml:space="preserve">RECOLHER 1PÇ  (BETIM CIDADE VERDE)     RECOLHER 1PÇ GROTA FRIA 19/12 </t>
    </r>
    <r>
      <rPr>
        <b/>
        <sz val="10"/>
        <color theme="1"/>
        <rFont val="Calibri"/>
        <family val="2"/>
        <scheme val="minor"/>
      </rPr>
      <t xml:space="preserve">                                    *RECOLHER 25/11, COND. VALE DO SOL.</t>
    </r>
    <r>
      <rPr>
        <b/>
        <sz val="10"/>
        <color rgb="FFFFFF00"/>
        <rFont val="Calibri"/>
        <family val="2"/>
        <scheme val="minor"/>
      </rPr>
      <t xml:space="preserve">                        *ENTREGA: 04/12 RUA NORTE.               </t>
    </r>
    <r>
      <rPr>
        <b/>
        <sz val="10"/>
        <color theme="1"/>
        <rFont val="Calibri"/>
        <family val="2"/>
        <scheme val="minor"/>
      </rPr>
      <t xml:space="preserve">ENCARREGADO: DÉMETRIUS,     </t>
    </r>
    <r>
      <rPr>
        <b/>
        <sz val="10"/>
        <color rgb="FFFFFF00"/>
        <rFont val="Calibri"/>
        <family val="2"/>
        <scheme val="minor"/>
      </rPr>
      <t xml:space="preserve">                        </t>
    </r>
    <r>
      <rPr>
        <b/>
        <sz val="10"/>
        <color theme="1"/>
        <rFont val="Calibri"/>
        <family val="2"/>
        <scheme val="minor"/>
      </rPr>
      <t xml:space="preserve">CENTRO DE CUSTO: 352 </t>
    </r>
  </si>
  <si>
    <t>1- 102.           2- 103.            3- 104.</t>
  </si>
  <si>
    <t>1- 11/11/2024 á 10/12/2024                      2- 15/11/2024 á 14/12/2024                 3- 04/12/2024 á 03/12/2024</t>
  </si>
  <si>
    <t>1- CONDOMINIO VALE DO SOL , RUA DESPINA, 133                                        2 - GROTA FRIA, MACACOS.                                                                               3 - RUA NORTE, 774, ANGOLA, BETIM-MG.</t>
  </si>
  <si>
    <t>CONSTRUTORA DRAGAGEM PARAOPEBA LTDA, 18.322.925/0001-14,RODOVIA BR 040, KM 523.5, LOTE: A, B: GUANABARA, CONTAGEM-MG, CEP: 32.150.340. SOLICITADO PELA SÔNIA.                                                                                   STEPHANNE: 97180-4294 / 3394-6347.     administrativo@grupoparaopeba.com.br</t>
  </si>
  <si>
    <t xml:space="preserve">1- 105.           2- 106.            3- 107 </t>
  </si>
  <si>
    <t>1- 17/11/2024 á 16/12/2024                2- 03/10/2024 Á 02/11/2024                3- 06/12/2024 á 05/01/2024</t>
  </si>
  <si>
    <t>96.</t>
  </si>
  <si>
    <t>05/10/2024 á 04/11/2024</t>
  </si>
  <si>
    <t>CONSTRUTORA DRAGAGEM PARAOPEBA LTDA, 18.322.925/0001-14,RODOVIA BR 040, KM 523.5, LOTE: A, B: GUANABARA, CONTAGEM-MG, CEP: 32.150.340. SOLICITADO PELA SÔNIA.                                                                                   STEPHANNE: 97180-4294 / 3394-6347.   administrativo@grupoparaopeba.com.br</t>
  </si>
  <si>
    <t xml:space="preserve">1-100.            2- 101 </t>
  </si>
  <si>
    <t>1- 25/11/2024 á 24/12/2024                2- 14/11/2024 á 13/12/2024</t>
  </si>
  <si>
    <r>
      <rPr>
        <b/>
        <sz val="10"/>
        <color rgb="FFFFFF00"/>
        <rFont val="Calibri"/>
        <family val="2"/>
        <scheme val="minor"/>
      </rPr>
      <t xml:space="preserve">RECOLHER 1PÇ 20/12/24                                  ENCARREGADO IGOR/ RAFAEL                </t>
    </r>
    <r>
      <rPr>
        <b/>
        <sz val="10"/>
        <color theme="1"/>
        <rFont val="Calibri"/>
        <family val="2"/>
        <scheme val="minor"/>
      </rPr>
      <t xml:space="preserve">CONSTRUTORA MONTE.  </t>
    </r>
  </si>
  <si>
    <t>1- 110 .          2- 108.           3- 109</t>
  </si>
  <si>
    <t>03/11/2024 á 02/12/2024 21/11/2024 á 20/12/2024 21/11/2024 á 20/12/2024</t>
  </si>
  <si>
    <t>21/11/2024 á 20/12/2024</t>
  </si>
  <si>
    <t>01/11/2024 á 30/12/2024</t>
  </si>
  <si>
    <t>CONSTRUTORA DRAGAGEM PARAOPEBA LTDA, 18.322.925/0001-14,RODOVIA BR 040, KM 523.5, LOTE: A, B: GUANABARA, CONTAGEM-MG, CEP: 32.150.340. SOLICITADO PELA SÔNIA.                                                                                   STEPHANNE: 97180-4294 / 3394-6347.        administrativo@grupoparaopeba.com.br</t>
  </si>
  <si>
    <t>CONSTRUTORA DRAGAGEM PARAOPEBA LTDA, 18.322.925/0001-14,RODOVIA BR 040, KM 523.5, LOTE: A, B: GUANABARA, CONTAGEM-MG, CEP: 32.150.340. SOLICITADO PELA SÔNIA.                                                                                   STEPHANNE: 97180-4294 / 3394-6347.       administrativo@grupoparaopeba.com.br</t>
  </si>
  <si>
    <t>EMPR+A1:E9ESA</t>
  </si>
  <si>
    <t>BANHEIRO QUEIMADO</t>
  </si>
  <si>
    <t xml:space="preserve">                                BANHEIRO QUEIMADO NO VIADUTO DA AV. JOÃO CESÁR.</t>
  </si>
  <si>
    <t xml:space="preserve">                                  ENCARREGADO ADRIANO                                CENTRO DE CUSTO 347</t>
  </si>
  <si>
    <t xml:space="preserve">             190.</t>
  </si>
  <si>
    <t>02- 31/12/2024 á 30/01/2025</t>
  </si>
  <si>
    <t xml:space="preserve">                                                                                                                     1- MINGUAL NOVA LIMA.</t>
  </si>
  <si>
    <r>
      <rPr>
        <b/>
        <sz val="10"/>
        <color theme="1"/>
        <rFont val="Calibri"/>
        <family val="2"/>
        <scheme val="minor"/>
      </rPr>
      <t>RECOLHIDO: 2pç  19/12                                   ENCARREGARO: WELIGTON</t>
    </r>
    <r>
      <rPr>
        <b/>
        <sz val="10"/>
        <color rgb="FFFFFF00"/>
        <rFont val="Calibri"/>
        <family val="2"/>
        <scheme val="minor"/>
      </rPr>
      <t xml:space="preserve">                                </t>
    </r>
    <r>
      <rPr>
        <b/>
        <sz val="10"/>
        <color theme="1"/>
        <rFont val="Calibri"/>
        <family val="2"/>
        <scheme val="minor"/>
      </rPr>
      <t>CENTRO DE CUSTO 357</t>
    </r>
  </si>
  <si>
    <t xml:space="preserve">   02- 07/12/2024 Á 19/12/2024</t>
  </si>
  <si>
    <t xml:space="preserve">                                              02-RUA GAXUPÉ, B: PARQUE SÃO JOÃO.</t>
  </si>
  <si>
    <t xml:space="preserve">                                 ENCARREGADO : TALISSON CENTRO DE CUSTO - 6</t>
  </si>
  <si>
    <t>07/11/2024 á  06/12/2024</t>
  </si>
  <si>
    <t xml:space="preserve">                             ENCARREGADO : RODRIGO                           CENTRO DE CUSTO - 360</t>
  </si>
  <si>
    <t xml:space="preserve">1- 24/11/2024 á 23/12/2024                     </t>
  </si>
  <si>
    <t xml:space="preserve"> 1- RUA PEROBAS, BAIRRO: PERÓBAS, CONTAGEM.                                         </t>
  </si>
  <si>
    <t xml:space="preserve">RECOLHEU 1 PÇ 12/12(são genaro)                                         ENCARREGADO: IURE/ MAGNO, CENTRO DE CUSTO: 361, </t>
  </si>
  <si>
    <t>1- 194             2- 195               3-196              4-197             5-198</t>
  </si>
  <si>
    <t>1- 21/11/2024 á 12/12/2024      2- 10/11/2024 á 09/12/2024      3- 17/11/2024 á 16/12/2024      4-21/12/2024 á 20/01/2025                 5-20/11/2024 á 19/12/2024</t>
  </si>
  <si>
    <r>
      <rPr>
        <b/>
        <sz val="10"/>
        <color theme="1"/>
        <rFont val="Calibri"/>
        <family val="2"/>
        <scheme val="minor"/>
      </rPr>
      <t xml:space="preserve">recolhido 19/12                                    CENTRO DE CUSTO: 352   </t>
    </r>
    <r>
      <rPr>
        <b/>
        <sz val="10"/>
        <color rgb="FFFFFF00"/>
        <rFont val="Calibri"/>
        <family val="2"/>
        <scheme val="minor"/>
      </rPr>
      <t xml:space="preserve">                              </t>
    </r>
    <r>
      <rPr>
        <b/>
        <sz val="10"/>
        <color theme="1"/>
        <rFont val="Calibri"/>
        <family val="2"/>
        <scheme val="minor"/>
      </rPr>
      <t>ENCARREGADO: ADRIANO</t>
    </r>
  </si>
  <si>
    <t>18/11/2024 Á 17/12/2024</t>
  </si>
  <si>
    <t>12/12/2024 á 19/12/2024</t>
  </si>
  <si>
    <t>RECOLHER 19/12/24                                    CENTRO DE CUSTO: 358                                 ENCARREGADO: ALEXANDRE</t>
  </si>
  <si>
    <t xml:space="preserve">Reolhido 19/12                                                     *ENTREGA: 04/12 RUA NORTE.               ENCARREGADO: DÉMETRIUS,                             CENTRO DE CUSTO: 352 </t>
  </si>
  <si>
    <t xml:space="preserve">         2- 202            3- 203</t>
  </si>
  <si>
    <t xml:space="preserve">      2- 15/12/2024 á 19/12/2024                 3- 04/12/2024 á 19/12/2024</t>
  </si>
  <si>
    <t xml:space="preserve">                          2 - GROTA FRIA, MACACOS.                                                                               3 - RUA NORTE, 774, ANGOLA, BETIM-MG.</t>
  </si>
  <si>
    <t xml:space="preserve">recolhido 19/12                                     ENCARREGADO: LÚIZ MARCELO, CONSTRUTORA MONTE VERDE, CENTRO DE CUSTO: 352 </t>
  </si>
  <si>
    <t xml:space="preserve">         2- 204            </t>
  </si>
  <si>
    <t xml:space="preserve">   2- 03/11/2024 Á 02/12/2024                </t>
  </si>
  <si>
    <t xml:space="preserve">                                2- CONDOMINIO VALE DO SOL, AVENIDA QUINTA , 403.                  </t>
  </si>
  <si>
    <t xml:space="preserve">                                      ENCARREGADO: WARLEY  ,                                CENTRO DE CUSTO: 352.</t>
  </si>
  <si>
    <t>05/11/2024 á 04/12/2024</t>
  </si>
  <si>
    <t xml:space="preserve">recolhido 17/01                                  ENGENHEIRO FÁBIO                                                           </t>
  </si>
  <si>
    <t>1-206             2- 211</t>
  </si>
  <si>
    <t>1- 25/12/2024 á 17/01/2025                2- 14/12/2024 á 13/01/2025</t>
  </si>
  <si>
    <t xml:space="preserve">recolhido 23/12                                ENCARREGADO IGOR/ RAFAEL                CONSTRUTORA MONTE.  </t>
  </si>
  <si>
    <t xml:space="preserve">1- 208            </t>
  </si>
  <si>
    <t xml:space="preserve">03/12/2024 á 23/12/2024 </t>
  </si>
  <si>
    <t xml:space="preserve">1- RUA JOÃO DA MATA , B: COLONIAL, 107 A 220.                                                            </t>
  </si>
  <si>
    <t xml:space="preserve">                                    ENCARREGADO TUTE.  </t>
  </si>
  <si>
    <t>01/12/2024 á 30/01/2025</t>
  </si>
  <si>
    <t xml:space="preserve">                                    ENCARREGADO LAURO, CONSTRUTORA MONTE VERDE.  </t>
  </si>
  <si>
    <t>21/12/2024 á 20/01/2025</t>
  </si>
  <si>
    <t>recolhido 1 pç betim 07/03                                  ENCARREGADO ADRIANO                                CENTRO DE CUSTO 347</t>
  </si>
  <si>
    <t xml:space="preserve">            1-244   2-245</t>
  </si>
  <si>
    <t>01- 31/01/2025 á 30/01/2025            02-04/02/2025 Á 03/03/25</t>
  </si>
  <si>
    <t xml:space="preserve">                                                                                                                     1- MINGUAL NOVA LIMA.                  2-RUA CÔNEGO DOMINGOS MARTINS ,298, BAIRRO:CENTRO ,BETIM  </t>
  </si>
  <si>
    <t>1300                               1300</t>
  </si>
  <si>
    <r>
      <rPr>
        <b/>
        <sz val="10"/>
        <color theme="1"/>
        <rFont val="Calibri"/>
        <family val="2"/>
        <scheme val="minor"/>
      </rPr>
      <t>RECOLHIDO: 27/02                                ENCARREGARO: WELIGTON</t>
    </r>
    <r>
      <rPr>
        <b/>
        <sz val="10"/>
        <color rgb="FFFFFF00"/>
        <rFont val="Calibri"/>
        <family val="2"/>
        <scheme val="minor"/>
      </rPr>
      <t xml:space="preserve">                                </t>
    </r>
    <r>
      <rPr>
        <b/>
        <sz val="10"/>
        <color theme="1"/>
        <rFont val="Calibri"/>
        <family val="2"/>
        <scheme val="minor"/>
      </rPr>
      <t>CENTRO DE CUSTO 357</t>
    </r>
  </si>
  <si>
    <t xml:space="preserve">   02- 07/01/2025 Á 06/02/2025</t>
  </si>
  <si>
    <t>07/12/2024 á  06/01/2025</t>
  </si>
  <si>
    <t xml:space="preserve">1- 24/12/2024 á 23/01/2025                     </t>
  </si>
  <si>
    <t xml:space="preserve">(RECOLHER 1 PÇ 24/02 RUA EDUARDO PIERRE)                                       ENCARREGADO: IURE/ MAGNO, CENTRO DE CUSTO: 361, </t>
  </si>
  <si>
    <t xml:space="preserve">          1- 249               2-250              3-251             4-252</t>
  </si>
  <si>
    <t xml:space="preserve">  1- 10/12/2024 á 09/01/2025                              2- 17/12/2024 á 16/01/2025      3-21/01/2025 á 20/02/2025                 4-20/12/2024 á 19/01/2025</t>
  </si>
  <si>
    <t xml:space="preserve">                                                                               1- RUA CANTEIRO JUSTINÓPOLIS .                                                                 2- RUA MARIA HELENA, B: CÉU ANIL.                                                                3- RUA SÃO LUCAS, 779, B: AGUA BRANCA, CONTAGEM, OBRA DO HELMUT.                                                                                                     4- RUA EDUARDO PIERRE MORALES.</t>
  </si>
  <si>
    <t xml:space="preserve">       1.300                                          1.300                         800                         1.300</t>
  </si>
  <si>
    <t xml:space="preserve">recolhid 2 pç 27/0 - recolhido 1 pç 24/03                                    ENCARREGADO: LÚIZ MARCELO, CONSTRUTORA MONTE VERDE, CENTRO DE CUSTO: 352 </t>
  </si>
  <si>
    <t xml:space="preserve">         2- 254           </t>
  </si>
  <si>
    <t xml:space="preserve">   2- 03/12/2024 Á 19/12/2024                </t>
  </si>
  <si>
    <t>05/12/2024 á 04/01/2025</t>
  </si>
  <si>
    <t xml:space="preserve">recolher 1pç 28/03/     recolher 1 pç 15/03/25                               ENCARREGADO TUTE.  </t>
  </si>
  <si>
    <t>01/02/2025 á 02/03/2025</t>
  </si>
  <si>
    <t>21/01/2025 á 20/02/2025</t>
  </si>
  <si>
    <t xml:space="preserve">RECOLHIDO 13/02                                    ENCARREGADO JOSÉ ALVES  </t>
  </si>
  <si>
    <t>12/01/2025 á 13/02/2025</t>
  </si>
  <si>
    <t>ELDORADO</t>
  </si>
  <si>
    <t>RECOLHIDO 27/02                                    ENCARREGADO ALEXANDRE QUEIROS</t>
  </si>
  <si>
    <t>26/01/2025 á 25/02/2025</t>
  </si>
  <si>
    <t xml:space="preserve">RUA ÁPIO CARDOSO ,NOVA CONTAGEM </t>
  </si>
  <si>
    <t>ENCARREGADO IGOR MONTE VERDE</t>
  </si>
  <si>
    <t>21/02/2025 Á 20/03/25</t>
  </si>
  <si>
    <t xml:space="preserve">PRAÇA RAIMUNDA R.MAGELA,INCONFIDENTES,CONTAGEM/MG.      </t>
  </si>
  <si>
    <t>CONSTRUTORA DRAGAGEM PARAOPEBA LTDA, 18.322.925/0001-14,RODOVIA BR 040, KM 523.5, LOTE: A, B: GUANABARA, CONTAGEM-MG, CEP: 32.150.340. SOLICITADO PELO ADRIANO .                                                                                   STEPHANNE: 97180-4294 / 3394-6347.     administrativo@grupoparaopeba.com.br</t>
  </si>
  <si>
    <t xml:space="preserve">BANHEIRO COM CARRETINHA   SOLICITADO PELA CONSTRUTORA MONTE VERDE </t>
  </si>
  <si>
    <t>04/02/2025 Á 03/03/25</t>
  </si>
  <si>
    <t xml:space="preserve">RUA LUDOVICO BARBOSA ,NOVA LIMA                    </t>
  </si>
  <si>
    <t>1300BANHEIR         750CARRETI</t>
  </si>
  <si>
    <t xml:space="preserve">ENCARREGADO EDVALDO ,TAXA DE DESLOCAENTO FORA DA ROTA </t>
  </si>
  <si>
    <t xml:space="preserve">                   </t>
  </si>
  <si>
    <t>RECOLHER 31/01/25</t>
  </si>
  <si>
    <t xml:space="preserve">1- 15/01/2025 á 14/02/2025                      </t>
  </si>
  <si>
    <t xml:space="preserve">1- KM 567,SUL DA BR 040 , NA ENTRADA PARA O TOPO DO UNDO                                 </t>
  </si>
  <si>
    <t xml:space="preserve">RECOLHER 2PÇ 13/02 RECOLHER 1PÇ 23/01/25 ENCARREGADO: EDEVALDO                 </t>
  </si>
  <si>
    <t xml:space="preserve">1- 06/01/2025 á 05/02/2025                      </t>
  </si>
  <si>
    <t xml:space="preserve">1- RUA ANTONIO DE OLIVEIRA CAMPOS ,GRANJA VISTA ALEGRE ,CONTAGEM.                                     </t>
  </si>
  <si>
    <t xml:space="preserve">banheiro extraviado </t>
  </si>
  <si>
    <t>ESTRADA CHICÓ MENDES</t>
  </si>
  <si>
    <t>CONSTRUTORA DRAGAGEM PARAOPEBA LTDA, 18.322.925/0001-14,RODOVIA BR 040, KM 523.5, LOTE: A, B: GUANABARA, CONTAGEM-MG, CEP: 32.150.340. SOLICITADO ADRIANO                                                                              STEPHANNE: 97180-4294 / 3394-6347.                                                  administrativo@grupoparaopeba.com.br</t>
  </si>
  <si>
    <t>recolhido 11/03/25  ENCARREGADO rafael MONTE VERDE</t>
  </si>
  <si>
    <t>21/02/2025 Á 11/03/25</t>
  </si>
  <si>
    <t xml:space="preserve">rua sete 2 ,parque são joão  </t>
  </si>
  <si>
    <t>RECOLHER 02/05/25                                  ENCARREGADO JOSÉ ALVES</t>
  </si>
  <si>
    <t xml:space="preserve">01- 18/03/2025 á 17/04/2025            </t>
  </si>
  <si>
    <t>1-AV JOSÉ FARIA DA ROCHA,900-920 ,ELDORADO</t>
  </si>
  <si>
    <t>recolhido 1pç 26/03/25                                  ENCARREGADO ALEXANDRE QUEIRÓS</t>
  </si>
  <si>
    <t xml:space="preserve">01- 06/03/2025 á 26/03/2025     02- 11/03/25 Á 10/04/25          </t>
  </si>
  <si>
    <t xml:space="preserve">1-  RUA DEZESSETE 89, DARCY RIBEIRO                              2-  RUA DEZESSETE 89, DARCY RIBEIRO                                                                                                  </t>
  </si>
  <si>
    <t>1300            1300</t>
  </si>
  <si>
    <t>RECOLHER 16/04   COBRAR 200,00 RECOLHIMENTO -  recolher 04/04/25                                  ENCARREGADO EDEVALDO</t>
  </si>
  <si>
    <t xml:space="preserve">01- 05/03/2025 á 04/04/2025            </t>
  </si>
  <si>
    <t xml:space="preserve">1-ESTRADA CHICÓ MENDES ,319.43,QUINTAS DO JACUBÁ ,CONTAGEM.                                                                                                         </t>
  </si>
  <si>
    <t xml:space="preserve">recolher 24/03                                  ENCARREGADO MAGNO HENRIQUE </t>
  </si>
  <si>
    <t xml:space="preserve">01- 06/03/2025 á 24/03/2025            </t>
  </si>
  <si>
    <t xml:space="preserve">1-  RUA DEZESSETE 89, DARCY RIBEIRO                                                                                                                 </t>
  </si>
  <si>
    <t xml:space="preserve">            1-312    2-313</t>
  </si>
  <si>
    <t>01- 01/03/2025 á 30/03/2025            02-04/03/2025 Á 03/04/25</t>
  </si>
  <si>
    <t xml:space="preserve">   02- 07/02/2025 Á 27/02/2025</t>
  </si>
  <si>
    <t>07/01/2025 á  06/02/2025</t>
  </si>
  <si>
    <t xml:space="preserve">1- 24/01/2024 á 23/02/2025                     </t>
  </si>
  <si>
    <t xml:space="preserve">          1- 317              2-318              3-319             4-320</t>
  </si>
  <si>
    <t xml:space="preserve">  1- 10/01/2025 á 09/02/2025                              2- 17/01/2024 á 16/02/2025      3-21/02/2025 á 20/03/2025                 4-20/01/2024 á 19/02/2025</t>
  </si>
  <si>
    <t xml:space="preserve">recolhid 2 pç 27/03 - recolhido 1 pç 24/03                                    ENCARREGADO: LÚIZ MARCELO, CONSTRUTORA MONTE VERDE, CENTRO DE CUSTO: 352 </t>
  </si>
  <si>
    <t xml:space="preserve">         2- 321           </t>
  </si>
  <si>
    <t xml:space="preserve">   2- 19/01/2025 Á 18/02/2025                </t>
  </si>
  <si>
    <t>05/01/2025 á 04/02/2025</t>
  </si>
  <si>
    <t>03/03/2025 á 02/04/2025</t>
  </si>
  <si>
    <t>21/02/2025 á 20/03/2025</t>
  </si>
  <si>
    <t>21/03/2025 Á 20/04/25</t>
  </si>
  <si>
    <t>04/03/2025 Á 03/04/25</t>
  </si>
  <si>
    <t xml:space="preserve">RECOLHER 2PÇ 13/02  ENCARREGADO: EDEVALDO                 </t>
  </si>
  <si>
    <t xml:space="preserve">1- 06/02/2025 á 13/02/2025                    </t>
  </si>
  <si>
    <t xml:space="preserve">            ENCARREGADO: DÉMETRIUS,                             CENTRO DE CUSTO: 352 </t>
  </si>
  <si>
    <t xml:space="preserve">    2- 06/01/2025 Á 05/02/2025              </t>
  </si>
  <si>
    <t xml:space="preserve">                                      2 - GROTA FRIA, MACACOS.                                                                               </t>
  </si>
  <si>
    <t xml:space="preserve">1- 06/01/2025 á 05/02/2025                </t>
  </si>
  <si>
    <t xml:space="preserve">1- CONDOMINIO VALE DO SOL , RUA DESPINA, 133                                        </t>
  </si>
  <si>
    <t xml:space="preserve"> 3- 06/01/2025 á 05/02/2025</t>
  </si>
  <si>
    <t xml:space="preserve">           3 - RUA NORTE, 774, ANGOLA, BETIM-MG.</t>
  </si>
  <si>
    <r>
      <rPr>
        <b/>
        <sz val="10"/>
        <color theme="1"/>
        <rFont val="Calibri"/>
        <family val="2"/>
        <scheme val="minor"/>
      </rPr>
      <t xml:space="preserve">                                     CENTRO DE CUSTO: 352   </t>
    </r>
    <r>
      <rPr>
        <b/>
        <sz val="10"/>
        <color rgb="FFFFFF00"/>
        <rFont val="Calibri"/>
        <family val="2"/>
        <scheme val="minor"/>
      </rPr>
      <t xml:space="preserve">                              </t>
    </r>
    <r>
      <rPr>
        <b/>
        <sz val="10"/>
        <color theme="1"/>
        <rFont val="Calibri"/>
        <family val="2"/>
        <scheme val="minor"/>
      </rPr>
      <t>ENCARREGADO: ADRIANO</t>
    </r>
  </si>
  <si>
    <t>06/01/2025 Á 05/02/2025</t>
  </si>
  <si>
    <t xml:space="preserve">BH 168,CASTELO , 31 </t>
  </si>
  <si>
    <r>
      <rPr>
        <b/>
        <sz val="10"/>
        <color theme="3"/>
        <rFont val="Calibri"/>
        <family val="2"/>
        <scheme val="minor"/>
      </rPr>
      <t>RECOLHER 31/01/25 FRETE : R$200,00 ENTREGA                             ENCARREGADO ADRIANO</t>
    </r>
    <r>
      <rPr>
        <b/>
        <sz val="10"/>
        <color rgb="FFFFFF00"/>
        <rFont val="Calibri"/>
        <family val="2"/>
        <scheme val="minor"/>
      </rPr>
      <t xml:space="preserve">                                </t>
    </r>
    <r>
      <rPr>
        <b/>
        <sz val="10"/>
        <color theme="1"/>
        <rFont val="Calibri"/>
        <family val="2"/>
        <scheme val="minor"/>
      </rPr>
      <t xml:space="preserve"> </t>
    </r>
  </si>
  <si>
    <t xml:space="preserve">01- 15/01/2025 á 14/02/2025                                </t>
  </si>
  <si>
    <t>1- KM 567, SUL DA BR 040,NA ENTRADA PARA O TOPO  DO MUNDO .</t>
  </si>
  <si>
    <t>CONSTRUTORA DRAGAGEM PARAOPEBA LTDA, 18.322.925/0001-14,RODOVIA BR 040, KM 523.5, LOTE: A, B: GUANABARA, CONTAGEM-MG, CEP: 32.150.340. SOLICITADO PELO ADRIANO                                                                                   STEPHANNE: 97180-4294 / 3394-6347.                                                  administrativo@grupoparaopeba.com.br</t>
  </si>
  <si>
    <r>
      <rPr>
        <b/>
        <sz val="10"/>
        <color theme="3"/>
        <rFont val="Calibri"/>
        <family val="2"/>
        <scheme val="minor"/>
      </rPr>
      <t xml:space="preserve">           recolhido 13/02                  ENCARREGADO JOSÉ ALVES</t>
    </r>
    <r>
      <rPr>
        <b/>
        <sz val="10"/>
        <color rgb="FFFFFF00"/>
        <rFont val="Calibri"/>
        <family val="2"/>
        <scheme val="minor"/>
      </rPr>
      <t xml:space="preserve">                                </t>
    </r>
    <r>
      <rPr>
        <b/>
        <sz val="10"/>
        <color theme="1"/>
        <rFont val="Calibri"/>
        <family val="2"/>
        <scheme val="minor"/>
      </rPr>
      <t xml:space="preserve">CENTRO DE CUSTO CC 355 </t>
    </r>
  </si>
  <si>
    <t xml:space="preserve">01- 14/01/2025 á 13/02/2025                                </t>
  </si>
  <si>
    <t>1- RUA MULUNGU ,360 , B: ELDORADO</t>
  </si>
  <si>
    <t>410.</t>
  </si>
  <si>
    <t xml:space="preserve">01- 06/01/2025 á 05/02/2025       02-06/01/25 Á 05/02/25                                </t>
  </si>
  <si>
    <t xml:space="preserve">01-BANHEIRO ITINERANTE ,NOVA CONTAGEM .                 02-VL 30 ,B : NOVA CONTAGEM                                            </t>
  </si>
  <si>
    <t>1300              1300                         1300</t>
  </si>
  <si>
    <t>CONSTRUTORA DRAGAGEM PARAOPEBA LTDA, 18.322.925/0001-14,RODOVIA BR 040, KM 523.5, LOTE: A, B: GUANABARA, CONTAGEM-MG, CEP: 32.150.340. SOLICITADO PELO ADRIANO.                                                                                   STEPHANNE: 97180-4294 / 3394-6347.                                                  administrativo@grupoparaopeba.com.br</t>
  </si>
  <si>
    <t xml:space="preserve">                                ENCARREGADO: RAFAEL MONTE VERDE</t>
  </si>
  <si>
    <t xml:space="preserve">01-06/01/2025 Á 05/02/2025     </t>
  </si>
  <si>
    <t xml:space="preserve">01-RUA MARIA DE LOURDES FRIAS ,270, B: QUINTAS COLONIAIS,CONTAGEM.                                                                      </t>
  </si>
  <si>
    <t>CONSTRUTORA DRAGAGEM PARAOPEBA LTDA, 18.322.925/0001-14,RODOVIA BR 040, KM 523.5, LOTE: A, B: GUANABARA, CONTAGEM-MG, CEP: 32.150.340. SOLICITADO PELO IGOR                                                                                    STEPHANNE: 97180-4294 / 3394-6347.                                                  administrativo@grupoparaopeba.com.br</t>
  </si>
  <si>
    <t xml:space="preserve">  06/01/25 Á 05/02/25</t>
  </si>
  <si>
    <t xml:space="preserve"> 01-RUA JOSE MENDES FERREIRA 402, B: COLORADO ,CONTAGEM.</t>
  </si>
  <si>
    <t xml:space="preserve">                         ENCARREGADO: DEMETRIUS</t>
  </si>
  <si>
    <t>08/01/2025 á 07/02/2025</t>
  </si>
  <si>
    <r>
      <rPr>
        <b/>
        <sz val="11"/>
        <color theme="3"/>
        <rFont val="Calibri"/>
        <family val="2"/>
        <scheme val="minor"/>
      </rPr>
      <t xml:space="preserve">OBRA 352 ,VALE DO SOL NOVA LIMA          </t>
    </r>
    <r>
      <rPr>
        <b/>
        <sz val="11"/>
        <color rgb="FFFF0000"/>
        <rFont val="Calibri"/>
        <family val="2"/>
        <scheme val="minor"/>
      </rPr>
      <t xml:space="preserve">        </t>
    </r>
  </si>
  <si>
    <t xml:space="preserve">CONSTRUTORA DRAGAGEM PARAOPEBA LTDA, 18.322.925/0001-14,RODOVIA BR 040, KM 523.5, LOTE: A, B: GUANABARA, CONTAGEM-MG, CEP: 32.150.340. SOLICITADO PELO ADRIANO                                                                                    STEPHANNE: 97180-4294 / 3394-6347.        administrativo@grupoparaopeba.com.br                                           </t>
  </si>
  <si>
    <t xml:space="preserve">                                  ENCARREGADO:                                  WELLINGTON</t>
  </si>
  <si>
    <t>AV. DAS AMERICAS RESSACA ,CONTAGEM</t>
  </si>
  <si>
    <t>CONSTRUTORA DRAGAGEM PARAOPEBA LTDA, 18.322.925/0001-14,RODOVIA BR 040, KM 523.5, LOTE: A, B: GUANABARA, CONTAGEM-MG, CEP: 32.150.340. SOLICITADO PELO ADRIANO .                                                                                   STEPHANNE: 97180-4294 / 3394-6347.                                                  administrativo@grupoparaopeba.com.br</t>
  </si>
  <si>
    <t>08/01/2025 Á 07/02/2025</t>
  </si>
  <si>
    <t xml:space="preserve">OBRA NO VIADUTO , CONTAGEM PARQUE INDUSTRIAL </t>
  </si>
  <si>
    <t>CENTRO DE CUSTO 355-FRETE 200,00                                 ENCARREGADO JOSÉ ALVES</t>
  </si>
  <si>
    <t xml:space="preserve">01- 23/04/2025 á 22/05/2025            </t>
  </si>
  <si>
    <t>1-PROXIMO AO ARMARINHO SÃO MIGUEL,ELDORADO,CONTAGEM</t>
  </si>
  <si>
    <t xml:space="preserve">01- 18/04/2025 á 02/05/2025            </t>
  </si>
  <si>
    <t xml:space="preserve">    02- 11/04/25 Á 10/05/25          </t>
  </si>
  <si>
    <t xml:space="preserve">                            1-  RUA DEZESSETE 89, DARCY RIBEIRO                                                                                                  </t>
  </si>
  <si>
    <t>RECOLHER 16/04   COBRAR 200,00 RECOLHIMENTO                           ENCARREGADO EDEVALDO</t>
  </si>
  <si>
    <t xml:space="preserve">01- 04/04/2025 á 16/04/2025            </t>
  </si>
  <si>
    <t xml:space="preserve">                                ENCARREGADO ADRIANO                                CENTRO DE CUSTO 347</t>
  </si>
  <si>
    <t xml:space="preserve">01- 01/03/2025 á 30/03/2025            </t>
  </si>
  <si>
    <t xml:space="preserve">                                                                                                                     1- MINGUAL NOVA LIMA.                  </t>
  </si>
  <si>
    <t>07/02/2025 á  06/03/2025</t>
  </si>
  <si>
    <t xml:space="preserve">1- 24/02/2024 á 23/03/2025                     </t>
  </si>
  <si>
    <t xml:space="preserve">                                       ENCARREGADO: IURE/ MAGNO, CENTRO DE CUSTO: 361, </t>
  </si>
  <si>
    <t xml:space="preserve">  1- 10/02/2025 á 09/03/2025                                           </t>
  </si>
  <si>
    <t xml:space="preserve">       1- RUA CANTEIRO JUSTINÓPOLIS .                                                                                                                                                              </t>
  </si>
  <si>
    <t xml:space="preserve">  2- 17/02/2024 á 16/03/2025               </t>
  </si>
  <si>
    <t xml:space="preserve">           2- RUA MARIA HELENA, B: CÉU ANIL.                                                                                                                                                               </t>
  </si>
  <si>
    <t xml:space="preserve">     3-21/03/2025 á 20/04/2025                      </t>
  </si>
  <si>
    <t xml:space="preserve"> 3- RUA SÃO LUCAS, 779, B: AGUA BRANCA, CONTAGEM, OBRA DO HELMUT.     .                                                                                                   </t>
  </si>
  <si>
    <t xml:space="preserve">4-20/02/2024 á 24/02/2025                </t>
  </si>
  <si>
    <t xml:space="preserve">        4- RUA EDUARDO PIERRE MORALES.                                                                                                   </t>
  </si>
  <si>
    <t xml:space="preserve">   2- 19/02/2025 Á 18/03/2025                </t>
  </si>
  <si>
    <t>05/02/2025 á 04/03/2025</t>
  </si>
  <si>
    <t>03/04/2025 á 02/05/2025</t>
  </si>
  <si>
    <t xml:space="preserve">1- BAIRRO JARDIM LAGUNA                                                                     </t>
  </si>
  <si>
    <t>21/03/2025 á 20/04/2025</t>
  </si>
  <si>
    <t>21/04/2025 Á 20/05/25</t>
  </si>
  <si>
    <t>recolher 23/05/25 ENCARREGADO DEMETRIUS</t>
  </si>
  <si>
    <t>04/04/2025 Á 03/05/25</t>
  </si>
  <si>
    <t>RUA SEQUOIA ,COLONIAL ,CONTAGEM</t>
  </si>
  <si>
    <t xml:space="preserve">FRETE :200,00                  ENCARREGADO: </t>
  </si>
  <si>
    <t>04/04/2025 Á 03/05/2025</t>
  </si>
  <si>
    <t>RUA GERALDO JOSE VIEIRA ,CITROLANDIA ,BETIM</t>
  </si>
  <si>
    <t xml:space="preserve">              ENCARREGADO:YURE </t>
  </si>
  <si>
    <t>08/04/2025 Á 07/05/2025</t>
  </si>
  <si>
    <t>RUA FRANCISCO LOURENÇO DOS SANTOS,544-628,VENEZA</t>
  </si>
  <si>
    <t xml:space="preserve">   FRETE 200,00           ENCARREGADO:MAGNO</t>
  </si>
  <si>
    <t>23/04/2025 Á 22/05/2025</t>
  </si>
  <si>
    <t>CENTRO DE CUSTO 360 ESTRADA CHICO MENDES 991,QUINTAS DO JACUBÁ</t>
  </si>
  <si>
    <t xml:space="preserve">           ENCARREGADO:ADRIANO</t>
  </si>
  <si>
    <t>04/02/2025 Á 03/03/2025</t>
  </si>
  <si>
    <t>RUA CÔNEGO DOMINGOS MARTINS 298 ,CENTRO ,BETIM</t>
  </si>
  <si>
    <t>17/02/2025 Á 16/03/2025</t>
  </si>
  <si>
    <t xml:space="preserve">RUA ANTONIO DE OLIVEIRA CAMPOS ,68  ,CONTAGEM </t>
  </si>
  <si>
    <t>RECOLHER 27/05 /ENCARREGADO EDVALDO</t>
  </si>
  <si>
    <t xml:space="preserve"> 3- 28/04/2025 á 27/05/2025</t>
  </si>
  <si>
    <t xml:space="preserve">RUA JOSÉ BARRA DO NASCIMENTO ,ELDORADO ,CONTAGEM </t>
  </si>
  <si>
    <t>CONSTRUTORA DRAGAGEM PARAOPEBA LTDA, 18.322.925/0001-14,RODOVIA BR 040, KM 523.5, LOTE: A, B: GUANABARA, CONTAGEM-MG, CEP: 32.150.340. SOLICITADO POR YURE                                                                                  STEPHANNE: 97180-4294 / 3394-6347.     administrativo@grupoparaopeba.com.br</t>
  </si>
  <si>
    <t>RECOLHER 09/05 /ENCARREGADO EDVALDO</t>
  </si>
  <si>
    <t xml:space="preserve"> 3- 09/04/2025 á 08/05/2025</t>
  </si>
  <si>
    <t>BAIRRO TRÊS BARRAS CONTAGEM</t>
  </si>
  <si>
    <t>FRETE 250,00</t>
  </si>
  <si>
    <t xml:space="preserve"> 3- 29/05/2025 á 28/06/2025</t>
  </si>
  <si>
    <t xml:space="preserve">RUA SETE 230 ,VILA PINTO COELHO LAGOA SANTA </t>
  </si>
  <si>
    <t>recolher 26/05</t>
  </si>
  <si>
    <t xml:space="preserve"> 3- 13/05/2025 á 12/06/2025</t>
  </si>
  <si>
    <t xml:space="preserve">ESTRADA PASSARGADA ,NOVA LIMA </t>
  </si>
  <si>
    <t>CONSTRUTORA DRAGAGEM PARAOPEBA LTDA, 18.322.925/0001-14,RODOVIA BR 040, KM 523.5, LOTE: A, B: GUANABARA, CONTAGEM-MG, CEP: 32.150.340. SOLICITADO POR ADRIANO                                                                                  STEPHANNE: 97180-4294 / 3394-6347.     administrativo@grupoparaopeba.com.br</t>
  </si>
  <si>
    <t xml:space="preserve"> 3- 03/05/2025 á 02/06/2025</t>
  </si>
  <si>
    <t>FUNCIONARIOS CONTAGEM ,PROXIMO AO SOLAR DA MADEIRA</t>
  </si>
  <si>
    <t xml:space="preserve">                                  ENCARREGADO:                                  IGOR</t>
  </si>
  <si>
    <t>29/04/2025 Á 28/05/2025</t>
  </si>
  <si>
    <t xml:space="preserve"> RESSACA ,CONTAGEM</t>
  </si>
  <si>
    <t xml:space="preserve">      RECOLHIDO 23/06/25      ENCARREGADO: DÉMETRIUS,                             CENTRO DE CUSTO: 352 </t>
  </si>
  <si>
    <t xml:space="preserve">    2- 06/02/2025 Á 05/03/2025              </t>
  </si>
  <si>
    <t xml:space="preserve">1- 06/02/2025 á 05/03/2025                </t>
  </si>
  <si>
    <t xml:space="preserve"> 3- 06/02/2025 á 05/03/2025</t>
  </si>
  <si>
    <t>06/02/2025 Á 05/03/2025</t>
  </si>
  <si>
    <t>488.</t>
  </si>
  <si>
    <t xml:space="preserve">       06/02/25 Á 05/03/25                                </t>
  </si>
  <si>
    <t xml:space="preserve">VL 30 ,B : NOVA CONTAGEM                                            </t>
  </si>
  <si>
    <t xml:space="preserve">01-06/02/2025 Á 05/03/2025     </t>
  </si>
  <si>
    <t>08/02/2025 á 07/03/2025</t>
  </si>
  <si>
    <t xml:space="preserve">01- 23/05/2025 á 22/06/2025            </t>
  </si>
  <si>
    <t xml:space="preserve">01- 01/04/2025 á 30/04/2025            </t>
  </si>
  <si>
    <t>07/03/2025 á  06/04/2025</t>
  </si>
  <si>
    <t xml:space="preserve">  1- 10/03/2025 á 09/04/2025                                           </t>
  </si>
  <si>
    <t xml:space="preserve">  2- 17/03/2024 á 16/04/2025               </t>
  </si>
  <si>
    <t xml:space="preserve">     3-21/04/2025 á 20/05/2025                      </t>
  </si>
  <si>
    <t xml:space="preserve">   2- 19/03/2025 Á 18/04/2025                </t>
  </si>
  <si>
    <t>05/03/2025 á 04/04/2025</t>
  </si>
  <si>
    <t>21/04/2025 á 20/05/2025</t>
  </si>
  <si>
    <t>21/05/2025 Á 20/06/25</t>
  </si>
  <si>
    <t>04/05/2025 Á 03/06/25</t>
  </si>
  <si>
    <t xml:space="preserve">              ENCARREGADO: </t>
  </si>
  <si>
    <t>04/05/2025 Á 03/06/2025</t>
  </si>
  <si>
    <t>08/05/2025 Á 07/06/2025</t>
  </si>
  <si>
    <t xml:space="preserve">      ENCARREGADO:MAGNO</t>
  </si>
  <si>
    <t>23/05/2025 Á 22/06/2025</t>
  </si>
  <si>
    <t>04/03/2025 Á 03/04/2025</t>
  </si>
  <si>
    <t xml:space="preserve">  29/06/2025 á 28/07/2025</t>
  </si>
  <si>
    <t xml:space="preserve">  03/06/2025 á 02/07/2025</t>
  </si>
  <si>
    <t>29/05/2025 Á 28/06/2025</t>
  </si>
  <si>
    <t xml:space="preserve">     06/03/2025 Á 05/04/2025              </t>
  </si>
  <si>
    <t xml:space="preserve">GROTA FRIA, MACACOS.                                                                               </t>
  </si>
  <si>
    <t xml:space="preserve">06/03/2025 á 05/04/2025                </t>
  </si>
  <si>
    <t xml:space="preserve"> CONDOMINIO VALE DO SOL , RUA DESPINA, 133                                        </t>
  </si>
  <si>
    <t xml:space="preserve">  06/03/2025 á 05/04/2025</t>
  </si>
  <si>
    <t>RUA NORTE, 774, ANGOLA, BETIM-MG.</t>
  </si>
  <si>
    <t xml:space="preserve">                                     CENTRO DE CUSTO: 352                                 ENCARREGADO: ADRIANO</t>
  </si>
  <si>
    <t>06/03/2025 Á 05/04/2025</t>
  </si>
  <si>
    <t xml:space="preserve">06/03/2025 Á 05/04/2025     </t>
  </si>
  <si>
    <t xml:space="preserve">RUA MARIA DE LOURDES FRIAS ,270, B: QUINTAS COLONIAIS,CONTAGEM.                                                                      </t>
  </si>
  <si>
    <t>08/03/2025 á 07/04/2025</t>
  </si>
  <si>
    <t xml:space="preserve">OBRA 352 ,VALE DO SOL NOVA LIMA                  </t>
  </si>
  <si>
    <t>CENTRO DE CUSTO 355-                              ENCARREGADO JOSÉ ALVES</t>
  </si>
  <si>
    <t xml:space="preserve">23/06/2025 á 22/07/2025            </t>
  </si>
  <si>
    <t>PROXIMO AO ARMARINHO SÃO MIGUEL,ELDORADO,CONTAGEM</t>
  </si>
  <si>
    <t xml:space="preserve">01/05/2025 á 30/05/2025            </t>
  </si>
  <si>
    <t xml:space="preserve">                                                                                                                      MINGUAL NOVA LIMA.                  </t>
  </si>
  <si>
    <t>07/04/2025 á  06/05/2025</t>
  </si>
  <si>
    <t xml:space="preserve"> 10/04/2025 á 09/05/2025                                           </t>
  </si>
  <si>
    <t xml:space="preserve">RUA CANTEIRO JUSTINÓPOLIS .                                                                                                                                                              </t>
  </si>
  <si>
    <t xml:space="preserve"> 17/04/2024 á 16/05/2025               </t>
  </si>
  <si>
    <t xml:space="preserve"> RUA MARIA HELENA, B: CÉU ANIL.                                                                                                                                                               </t>
  </si>
  <si>
    <t xml:space="preserve">    21/05/2025 á 20/06/2025                      </t>
  </si>
  <si>
    <t xml:space="preserve">  RUA SÃO LUCAS, 779, B: AGUA BRANCA, CONTAGEM, OBRA DO HELMUT.     .                                                                                                   </t>
  </si>
  <si>
    <t xml:space="preserve">                                 ENCARREGADO: LÚIZ MARCELO, CONSTRUTORA MONTE VERDE, CENTRO DE CUSTO: 352 </t>
  </si>
  <si>
    <t xml:space="preserve">   19/04/2025 Á 18/05/2025                </t>
  </si>
  <si>
    <t xml:space="preserve">                                CONDOMINIO VALE DO SOL, AVENIDA QUINTA , 403.                  </t>
  </si>
  <si>
    <t>05/04/2025 á 04/05/2025</t>
  </si>
  <si>
    <t>21/05/2025 á 20/06/2025</t>
  </si>
  <si>
    <t>04/06/2025 Á 03/07/2025</t>
  </si>
  <si>
    <t>08/06/2025 Á 07/07/2025</t>
  </si>
  <si>
    <t>23/06/2025 Á 22/07/2025</t>
  </si>
  <si>
    <t xml:space="preserve">  01/07/2025 á 30/07/2025</t>
  </si>
  <si>
    <t>RECOLHIDO                                   ENCARREGADO:                                  WELLINGTON</t>
  </si>
  <si>
    <t xml:space="preserve">RECOLHER 03/07/25              ENCARREGADO:YURE </t>
  </si>
  <si>
    <t>chico mendes 3</t>
  </si>
  <si>
    <t xml:space="preserve">DATA DA ENTREGA </t>
  </si>
  <si>
    <t xml:space="preserve">CONTATO DA OBRA </t>
  </si>
  <si>
    <t>YURE - (31)99831-7128</t>
  </si>
  <si>
    <t>DATA DO RECOLHIMENTO</t>
  </si>
  <si>
    <t xml:space="preserve">VALE DAS ACACIAS ,RIBEIRÃO DAS NEVES </t>
  </si>
  <si>
    <t>VENDA NOVA ,ESTACIONAMENTO DO EPA</t>
  </si>
  <si>
    <t>CONSTRUTORA PARAOPEBA LTDA</t>
  </si>
  <si>
    <t>CONSTRUTORA  PARAOPEBA LTDA</t>
  </si>
  <si>
    <t xml:space="preserve">LAGOA SANTA </t>
  </si>
  <si>
    <t xml:space="preserve">RUA WALTER DIAS RIBEIRO ,139 ,VENDA NOVA/JUSTINOPOLIS </t>
  </si>
  <si>
    <t>RUA AIMORES 46,CASA A, JARDIM ALVORADA ,VENDA NOVA</t>
  </si>
  <si>
    <t>DEMETRIUS - (31)99312-1055</t>
  </si>
  <si>
    <t>BETIM</t>
  </si>
  <si>
    <t>VILA DA SERRA</t>
  </si>
  <si>
    <t>AGUA LIMPA ,NOVA LIMA</t>
  </si>
  <si>
    <t>MAGNO - (31)99801-3052</t>
  </si>
  <si>
    <t xml:space="preserve">ESTRADA CHICO MENDES ,CONTAGEM </t>
  </si>
  <si>
    <t>MONTE VERDE RAFAEL- (31)98783-0965</t>
  </si>
  <si>
    <t xml:space="preserve">  RUA SÃO LUCAS, 779, B: AGUA BRANCA, CONTAGEM, OBRA DO HELMUT.     .    </t>
  </si>
  <si>
    <t>CHICO MENDES</t>
  </si>
  <si>
    <t>VENEZA</t>
  </si>
  <si>
    <t>MONTE VERDE IGOR- (31)99652-5161</t>
  </si>
  <si>
    <t>RUA SETE ,351 ,PEROBAS</t>
  </si>
  <si>
    <t xml:space="preserve">ENCARREGADO YURE </t>
  </si>
  <si>
    <t xml:space="preserve">  10/07/2025 á 09/08/2025</t>
  </si>
  <si>
    <t xml:space="preserve">  09/07/2025 á 08/08/2025</t>
  </si>
  <si>
    <t xml:space="preserve">  05/07/2025 á 04/08/2025</t>
  </si>
  <si>
    <t xml:space="preserve"> ENCARREGADO DEMETRIUS </t>
  </si>
  <si>
    <t xml:space="preserve">                               ENCARREGADO ALEXANDRE                                </t>
  </si>
  <si>
    <t xml:space="preserve">RECOLHIDO                                    ENCARREGADO ALEXANDRE                                </t>
  </si>
  <si>
    <t xml:space="preserve">RECOLHIDO                                  ENCARREGADO:   </t>
  </si>
  <si>
    <t>RECOLHIDO                                 ENCARREGADO ALEXANDRE QUEIRÓS</t>
  </si>
  <si>
    <t xml:space="preserve">recolhido                                  ENCARREGADO:      RODRIGO                            </t>
  </si>
  <si>
    <t>RECOLHIDO     ENCARREGADO IGOR MONTE VERDE</t>
  </si>
  <si>
    <t xml:space="preserve">  ENCARREGADO IGOR MONTE VERDE</t>
  </si>
  <si>
    <t xml:space="preserve"> ENCARREGADO IGOR MONTE VERDE</t>
  </si>
  <si>
    <t>RECOLHIDO                                  ENCARREGADO:                                  IGOR MONTE VERDE</t>
  </si>
  <si>
    <t>RECOLHIDO                                ENCARREGADO: RAFAEL MONTE VERDE</t>
  </si>
  <si>
    <t xml:space="preserve">     RECOLHIDO                        ENCARREGADO TUTE.   </t>
  </si>
  <si>
    <t>RECOLHIDO                             ENCARREGADO : RODRIGO                           CENTRO DE CUSTO - 360</t>
  </si>
  <si>
    <t xml:space="preserve">      RECOLHER 09/07/25 ENCARREGADO:MAGNO</t>
  </si>
  <si>
    <t>SÃO JOAQUIM ,CONTAGEM</t>
  </si>
  <si>
    <t xml:space="preserve">  21/07/2025 á 20/08/2025</t>
  </si>
  <si>
    <t xml:space="preserve">ENCARREGADO IGOR MONTE VERDE </t>
  </si>
  <si>
    <t>ENCARREGADO DEMETRIUS FRETE 200,00</t>
  </si>
  <si>
    <t xml:space="preserve">  02/07/2025 á 01/08/2025</t>
  </si>
  <si>
    <t xml:space="preserve">  21/06/2025 á 20/07/2025</t>
  </si>
  <si>
    <t xml:space="preserve">  RUA SÃO LUCAS, 779, B: AGUA BRANCA, CONTAGEM, OBRA DO HELMUT.</t>
  </si>
  <si>
    <t>VENDA NOVA ESTAIONAMENTO EPA</t>
  </si>
  <si>
    <t xml:space="preserve">RUA DOS AIMORES 46 ,CASA A ,JARDIM ALVORAA ,VENDA NOVA </t>
  </si>
  <si>
    <t>ENCARREGADO MONTE VERDE RAFAEL</t>
  </si>
  <si>
    <t xml:space="preserve">ESTRADA CHICO MENDES </t>
  </si>
  <si>
    <t>AGUA LIMPA NOVA LIMA</t>
  </si>
  <si>
    <t>BETIM-MG</t>
  </si>
  <si>
    <t>,SÃO JOAQUIM ,CONTAGEM -MG</t>
  </si>
  <si>
    <t xml:space="preserve">RUA WALTER DIAS RIBEIRO ,139 (JUSTINOPOLIS) VENDA NOVA </t>
  </si>
  <si>
    <t xml:space="preserve">RUA SETE ,383-375 ,PEROBAS </t>
  </si>
  <si>
    <t xml:space="preserve">  29/07/2025 á 28/08/2025</t>
  </si>
  <si>
    <t xml:space="preserve">  22/07/2025 á 21/08/2025</t>
  </si>
  <si>
    <t>FRETE 200,00 TROCA DE LOCAL DOS SANITARIOS ENCARREGADO MAGNO</t>
  </si>
  <si>
    <t>VILA DA SERRA,NOVA LIMA</t>
  </si>
  <si>
    <t xml:space="preserve">RUA MAGNOLIA ,189-103 ,ARVOREDO ,CONTAGEM </t>
  </si>
  <si>
    <t xml:space="preserve">  12/08/2025 á 11/09/2025</t>
  </si>
  <si>
    <t xml:space="preserve">RUA TENENTE PAULO AFONSO DE SOUZA ,508 ,ARVOREDO ,CONTAGEM </t>
  </si>
  <si>
    <t>EDVALDO</t>
  </si>
  <si>
    <t xml:space="preserve">  14/07/2025 á 13/08/2025</t>
  </si>
  <si>
    <t xml:space="preserve">RECOLHIDO 1 PEÇA 08/08/25  ENCARREGADO DEMETRIUS </t>
  </si>
  <si>
    <t xml:space="preserve">  22/08/2025 á 21/09/2025</t>
  </si>
  <si>
    <t xml:space="preserve"> ENCARREGADO MAGNO</t>
  </si>
  <si>
    <t xml:space="preserve">  02/08/2025 á 01/09/2025</t>
  </si>
  <si>
    <t xml:space="preserve">  29/08/2025 á 28/09/2025</t>
  </si>
  <si>
    <t xml:space="preserve">  05/08/2025 á 04/09/2025</t>
  </si>
  <si>
    <t xml:space="preserve">  21/08/2025 á 20/09/2025</t>
  </si>
  <si>
    <t xml:space="preserve">  09/08/2025 á 08/09/2025</t>
  </si>
  <si>
    <t xml:space="preserve">  14/08/2025 á 13/09/2025</t>
  </si>
  <si>
    <t xml:space="preserve">  10/08/2025 á 09/09/2025</t>
  </si>
  <si>
    <t xml:space="preserve">  01/08/2025 á 30/08/2025</t>
  </si>
  <si>
    <t xml:space="preserve">ENCARREGADO DEMETRIUS </t>
  </si>
  <si>
    <t xml:space="preserve">BETIM </t>
  </si>
  <si>
    <t>RUA MAGNOLIA ,189-103 ,ARVOREDO ,CONTAGEM /OBS: MUDOU PARA RUA CINCO ,2614 ,CHACARAS SÃO GERALDO</t>
  </si>
  <si>
    <t xml:space="preserve">BETIM ,RUA JOÃO TEBAU ,BAIRRO SÃO JORGUE </t>
  </si>
  <si>
    <t xml:space="preserve">RUA WALTER DIAS RIBEIRO ,139 (JUSTINOPOLIS) RIBEIRÃO DAS NEVES </t>
  </si>
  <si>
    <t>ENCARREGADDEMETRIUS</t>
  </si>
  <si>
    <t xml:space="preserve">  25/08/2025 á 24/09/2025</t>
  </si>
  <si>
    <t>RUA DOS ARTIFICES 63 ,A DEFINIR EM CAMPO , NOVA LIMA</t>
  </si>
  <si>
    <t xml:space="preserve">  27/08/2025 á 26/09/2025</t>
  </si>
  <si>
    <t xml:space="preserve">RUA BRAGANÇA 947-927 ,NOVO PROGRESSO </t>
  </si>
  <si>
    <t>RUA TIMBORANA ARVOREDO/TRANSFERIDO PARA RUA LAMBARI</t>
  </si>
  <si>
    <t xml:space="preserve">RUA TENENTE PAULO AFONSO DE SOUZA ,508 ,ARVOREDO ,CONTAGEM/TRANSFERIDO PARA RUA EBANO  </t>
  </si>
  <si>
    <t>RECOLHIDO 29/08/25/COBRA FRETE MUDANÇA DE LOCAL 200,00/ ENCARREGADO EDVALDO</t>
  </si>
  <si>
    <t>RECOLHIDO 02/09/25 COBRA FRETE MUDANÇA DE LOCAL 200,00/ENCARREGADO EDVALDO</t>
  </si>
  <si>
    <t>RUA DOS ARTIFICES 63 ,A DEFINIR EM CAMPO , AGUA LIMPA</t>
  </si>
  <si>
    <t xml:space="preserve">  03/09/2025 á 02/10/2025</t>
  </si>
  <si>
    <t>RUA BRAGANÇA 947-927 ,NOVO PROGRESSO</t>
  </si>
  <si>
    <t xml:space="preserve">RECOLHIDO 1 PEÇA 02/09/25 ENCARREGADO DEMETRIUS </t>
  </si>
  <si>
    <t xml:space="preserve">  27/09/2025 á 26/10/2025</t>
  </si>
  <si>
    <t xml:space="preserve">  25/09/2025 á 24/10/2025</t>
  </si>
  <si>
    <t xml:space="preserve">  21/09/2025 á 20/10/2025</t>
  </si>
  <si>
    <t xml:space="preserve">  22/09/2025 á 21/10/2025</t>
  </si>
  <si>
    <t xml:space="preserve">  02/09/2025 á 01/10/2025</t>
  </si>
  <si>
    <t xml:space="preserve">  29/09/2025 á 28/10/2025</t>
  </si>
  <si>
    <t xml:space="preserve">  05/09/2025 á 04/10/2025</t>
  </si>
  <si>
    <t xml:space="preserve">  09/09/2025 á 08/10/2025</t>
  </si>
  <si>
    <t xml:space="preserve">  14/09/2025 á 13/10/2025</t>
  </si>
  <si>
    <t xml:space="preserve">  10/09/2025 á 09/10/2025</t>
  </si>
  <si>
    <t xml:space="preserve">  01/09/2025 á 30/09/2025</t>
  </si>
  <si>
    <t>Local de entrega: Rua Nossa Senhora da Penha, 608, Betim.</t>
  </si>
  <si>
    <t xml:space="preserve">  24/09/2025 á 23/10/2025</t>
  </si>
  <si>
    <t>FRETE ENTREGA 200,00 ENCARREGADO  JOSÉ ALVES</t>
  </si>
  <si>
    <t>Local: Av. José Faria da Rocha, 3855, Beco Iris ao lado do estacionamento.</t>
  </si>
  <si>
    <t>FRETE ENTREGA 200,00 ENCARREGADO  EVERTON</t>
  </si>
  <si>
    <t xml:space="preserve">  11/09/2025 á 10/10/2025</t>
  </si>
  <si>
    <t xml:space="preserve">  15/09/2025 á 14/10/2025</t>
  </si>
  <si>
    <t>Local: Av. José Faria da Rocha, 2984, Beco dos Absintos.</t>
  </si>
  <si>
    <t xml:space="preserve"> FRETE ENTREGA 200,00     ENCARREGADO   IGOR MONTE VERDE</t>
  </si>
  <si>
    <t>RECOLHID 18/09/25 ENCARREGADO MONTE VERDE RAFAEL</t>
  </si>
  <si>
    <t>RECOLHIDO 02/10/25 ENCARREGADO MONTE VERDE RAFAEL</t>
  </si>
  <si>
    <t xml:space="preserve">RECOLHIDO 25/09/25 ENCARREGADO YURE </t>
  </si>
  <si>
    <t>CONSTRUTORA DRAGAGEM PARAOPEBA LTDA, 18.322.925/0001-14,RODOVIA BR 040, KM 523.5, LOTE: A, B: GUANABARA, CONTAGEM-MG, CEP: 32.150.340. SOLICITADO POR ADRIANO                                                                                  STEPHANNE: 97180-4294 / 3394-6347.     administrativo@grupoparaopeba.com.br                  ketlyn.vitoria@grupoparaopeba.com.br</t>
  </si>
  <si>
    <t>CONSTRUTORA DRAGAGEM PARAOPEBA LTDA, 18.322.925/0001-14,RODOVIA BR 040, KM 523.5, LOTE: A, B: GUANABARA, CONTAGEM-MG, CEP: 32.150.340. SOLICITADO POR ADRIANO                                                                                  STEPHANNE: 97180-4294 / 3394-6347.     administrativo@grupoparaopeba.com.br                                 ketlyn.vitoria@grupoparaopeba.com.br</t>
  </si>
  <si>
    <t>CONSTRUTORA DRAGAGEM PARAOPEBA LTDA, 18.322.925/0001-14,RODOVIA BR 040, KM 523.5, LOTE: A, B: GUANABARA, CONTAGEM-MG, CEP: 32.150.340. SOLICITADO POR ADRIANO                                                                                  STEPHANNE: 97180-4294 / 3394-6347.     administrativo@grupoparaopeba.com.br               ketlyn.vitoria@grupoparaopeba.com.br</t>
  </si>
  <si>
    <t>CONSTRUTORA DRAGAGEM PARAOPEBA LTDA, 18.322.925/0001-14,RODOVIA BR 040, KM 523.5, LOTE: A, B: GUANABARA, CONTAGEM-MG, CEP: 32.150.340. SOLICITADO POR ADRIANO                                                                                  STEPHANNE: 97180-4294 / 3394-6347.     administrativo@grupoparaopeba.com.br                   ketlyn.vitoria@grupoparaopeba.com.br</t>
  </si>
  <si>
    <t>CONSTRUTORA DRAGAGEM PARAOPEBA LTDA, 18.322.925/0001-14,RODOVIA BR 040, KM 523.5, LOTE: A, B: GUANABARA, CONTAGEM-MG, CEP: 32.150.340. SOLICITADO POR ADRIANO                                                                                  STEPHANNE: 97180-4294 / 3394-6347.     administrativo@grupoparaopeba.com.br                                ketlyn.vitoria@grupoparaopeba.com.br</t>
  </si>
  <si>
    <t>CONSTRUTORA DRAGAGEM PARAOPEBA LTDA, 18.322.925/0001-14,RODOVIA BR 040, KM 523.5, LOTE: A, B: GUANABARA, CONTAGEM-MG, CEP: 32.150.340. SOLICITADO POR ADRIANO                                                                                  STEPHANNE: 97180-4294 / 3394-6347.     administrativo@grupoparaopeba.com.br                                      ketlyn.vitoria@grupoparaopeba.com.br</t>
  </si>
  <si>
    <t>CONSTRUTORA DRAGAGEM PARAOPEBA LTDA, 18.322.925/0001-14,RODOVIA BR 040, KM 523.5, LOTE: A, B: GUANABARA, CONTAGEM-MG, CEP: 32.150.340. SOLICITADO POR ADRIANO                                                                                  STEPHANNE: 97180-4294 / 3394-6347.     administrativo@grupoparaopeba.com.br                           ketlyn.vitoria@grupoparaopeba.com.br</t>
  </si>
  <si>
    <t>CONSTRUTORA DRAGAGEM PARAOPEBA LTDA, 18.322.925/0001-14,RODOVIA BR 040, KM 523.5, LOTE: A, B: GUANABARA, CONTAGEM-MG, CEP: 32.150.340. SOLICITADO POR ADRIANO                                                                                  STEPHANNE: 97180-4294 / 3394-6347.     administrativo@grupoparaopeba.com.br                      ketlyn.vitoria@grupoparaopeba.com.br</t>
  </si>
  <si>
    <t>CONSTRUTORA DRAGAGEM PARAOPEBA LTDA, 18.322.925/0001-14,RODOVIA BR 040, KM 523.5, LOTE: A, B: GUANABARA, CONTAGEM-MG, CEP: 32.150.340. SOLICITADO POR ADRIANO                                                                                  STEPHANNE: 97180-4294 / 3394-6347.     administrativo@grupoparaopeba.com.br                             ketlyn.vitoria@grupoparaopeba.com.br</t>
  </si>
  <si>
    <t>CONSTRUTORA DRAGAGEM PARAOPEBA LTDA, 18.322.925/0001-14,RODOVIA BR 040, KM 523.5, LOTE: A, B: GUANABARA, CONTAGEM-MG, CEP: 32.150.340. SOLICITADO POR ADRIANO                                                                                  STEPHANNE: 97180-4294 / 3394-6347.     administrativo@grupoparaopeba.com.br                        ketlyn.vitoria@grupoparaopeba.com.br</t>
  </si>
  <si>
    <t>CONSTRUTORA DRAGAGEM PARAOPEBA LTDA, 18.322.925/0001-14,RODOVIA BR 040, KM 523.5, LOTE: A, B: GUANABARA, CONTAGEM-MG, CEP: 32.150.340. SOLICITADO POR ADRIANO                                                                                  STEPHANNE: 97180-4294 / 3394-6347.     administrativo@grupoparaopeba.com.br                ketlyn.vitoria@grupoparaopeba.com.br</t>
  </si>
  <si>
    <t>CONSTRUTORA DRAGAGEM PARAOPEBA LTDA, 18.322.925/0001-14,RODOVIA BR 040, KM 523.5, LOTE: A, B: GUANABARA, CONTAGEM-MG, CEP: 32.150.340. SOLICITADO POR ADRIANO                                                                                  STEPHANNE: 97180-4294 / 3394-6347.     administrativo@grupoparaopeba.com.br                     ketlyn.vitoria@grupoparaopeba.com.br</t>
  </si>
  <si>
    <t>CONSTRUTORA DRAGAGEM PARAOPEBA LTDA, 18.322.925/0001-14,RODOVIA BR 040, KM 523.5, LOTE: A, B: GUANABARA, CONTAGEM-MG, CEP: 32.150.340. SOLICITADO POR ADRIANO                                                                                  STEPHANNE: 97180-4294 / 3394-6347.     administrativo@grupoparaopeba.com.br                       ketlyn.vitoria@grupoparaopeba.com.br</t>
  </si>
  <si>
    <t>CONSTRUTORA DRAGAGEM PARAOPEBA LTDA, 18.322.925/0001-14,RODOVIA BR 040, KM 523.5, LOTE: A, B: GUANABARA, CONTAGEM-MG, CEP: 32.150.340. SOLICITADO POR ADRIANO                                                                                  STEPHANNE: 97180-4294 / 3394-6347.     administrativo@grupoparaopeba.com.br                    ketlyn.vitoria@grupoparaopeba.com.br</t>
  </si>
  <si>
    <t xml:space="preserve"> ENCARREGADO MONTE VERDE RAFAEL</t>
  </si>
  <si>
    <t xml:space="preserve">  14/10/2025 á 13/11/2025</t>
  </si>
  <si>
    <t>RUA HIBISCO 352 ,ARVOREDO ,CONTAGEM</t>
  </si>
  <si>
    <t xml:space="preserve">  02/09/2025 á 18/09/2025</t>
  </si>
  <si>
    <t xml:space="preserve">RECOLHIDO 17/10/25 ENCARREGADO YURE </t>
  </si>
  <si>
    <t xml:space="preserve">  15/10/2025 á 14/11/2025</t>
  </si>
  <si>
    <t xml:space="preserve">  11/10/2025 á 10/11/2025</t>
  </si>
  <si>
    <t xml:space="preserve"> ENCARREGADO  JOSÉ ALVES</t>
  </si>
  <si>
    <t xml:space="preserve">  24/10/2025 á 23/11/2025</t>
  </si>
  <si>
    <t xml:space="preserve">  03/10/2025 á 02/11/2025</t>
  </si>
  <si>
    <t xml:space="preserve">  25/10/2025 á 24/11/2025</t>
  </si>
  <si>
    <t xml:space="preserve">  21/10/2025 á 20/11/2025</t>
  </si>
  <si>
    <t xml:space="preserve">  02/10/2025 á 01/11/2025</t>
  </si>
  <si>
    <t xml:space="preserve">  29/10/2025 á 28/11/2025</t>
  </si>
  <si>
    <t xml:space="preserve">  05/10/2025 á 04/11/2025</t>
  </si>
  <si>
    <t xml:space="preserve">  09/10/2025 á 08/11/2025</t>
  </si>
  <si>
    <t xml:space="preserve">  10/10/2025 á 09/11/2025</t>
  </si>
  <si>
    <t xml:space="preserve">  01/10/2025 á 30/10/2025</t>
  </si>
  <si>
    <t>ENCARREGADO DEMETRIUS</t>
  </si>
  <si>
    <t xml:space="preserve">RECOLHIDO 10/11/25 ENCARREGADO YURE </t>
  </si>
  <si>
    <t>RECOLHIDO 24/11/25 ENCARREGADO   IGOR MONTE VERDE</t>
  </si>
  <si>
    <t>RECOLHIDO 2 PEÇAS 22/11/25 ENCARREGADO MAGNO</t>
  </si>
  <si>
    <t xml:space="preserve"> RECOLHIDO 1 PEÇA 04/12/25 ENCARREGADO DEMETRIUS </t>
  </si>
  <si>
    <t xml:space="preserve">VILA DA SERRA,NOVA LIMA/FOI LEVADO PARA AGUA LIMPA NOVA LIMA   </t>
  </si>
  <si>
    <t xml:space="preserve"> RECOLHIDO 13/11/25 ENCARREGADO  EVERTON</t>
  </si>
  <si>
    <t xml:space="preserve">  14/11/2025 á 13/12/2025</t>
  </si>
  <si>
    <t xml:space="preserve">  15/11/2025 á 24/11/2025</t>
  </si>
  <si>
    <t xml:space="preserve">  24/11/2025 á 23/12/2025</t>
  </si>
  <si>
    <t xml:space="preserve">  03/11/2025 á 02/12/2025</t>
  </si>
  <si>
    <t xml:space="preserve">  25/11/2025 á 24/12/2025</t>
  </si>
  <si>
    <t xml:space="preserve">  21/11/2025 á 20/12/2025</t>
  </si>
  <si>
    <t xml:space="preserve">  02/11/2025 á 22/11/2025</t>
  </si>
  <si>
    <t xml:space="preserve">  02/11/2025 á 01/12/2025</t>
  </si>
  <si>
    <t xml:space="preserve">  29/11/2025 á 28/12/2025</t>
  </si>
  <si>
    <t xml:space="preserve">  05/11/2025 á 10/11/2025</t>
  </si>
  <si>
    <t xml:space="preserve">  09/11/2025 á 08/12/2025</t>
  </si>
  <si>
    <t xml:space="preserve">  10/11/2025 á 09/12/2025</t>
  </si>
  <si>
    <t xml:space="preserve">  01/11/2025 á 30/11/2025</t>
  </si>
  <si>
    <t xml:space="preserve">RECOLHIDO 08/12/25   ENCARREGADO YURE </t>
  </si>
  <si>
    <t xml:space="preserve">  14/12/2025 á 13/01/2026</t>
  </si>
  <si>
    <t xml:space="preserve">  24/12/2025 á 23/01/2026</t>
  </si>
  <si>
    <t xml:space="preserve">  03/12/2025 á 02/01/2026</t>
  </si>
  <si>
    <t xml:space="preserve">  25/12/2025 á 24/01/2026</t>
  </si>
  <si>
    <t xml:space="preserve">  21/12/2025 á 20/01/2026</t>
  </si>
  <si>
    <t xml:space="preserve">  02/12/2025 á 08/12/2025</t>
  </si>
  <si>
    <t xml:space="preserve">  29/12/2025 á 28/01/2026</t>
  </si>
  <si>
    <t xml:space="preserve">  09/12/2025 á 08/01/2026</t>
  </si>
  <si>
    <t xml:space="preserve">  10/12/2025 á 09/01/2026</t>
  </si>
  <si>
    <t xml:space="preserve">  01/12/2025 á 30/12/2025</t>
  </si>
  <si>
    <t xml:space="preserve">  05/01/2026 á 04/02/2026</t>
  </si>
  <si>
    <t>Rua Cinco, 23, Chácaras São Geraldo, Contagem -MG.</t>
  </si>
  <si>
    <t xml:space="preserve"> Rua Levi Diniz Costa, Quinta Coloniais, Contagem -MG.</t>
  </si>
  <si>
    <t>VILA DA SERRA NOVA LIMA</t>
  </si>
  <si>
    <t>Local: R. Cinco, 300-561 - Chácara São Geraldo, Contagem -</t>
  </si>
  <si>
    <t xml:space="preserve">200,00 FRETE </t>
  </si>
  <si>
    <t xml:space="preserve">RECOLHIDO 19/12/25ENCARREGADO IGOR MONTE VERDE </t>
  </si>
  <si>
    <t xml:space="preserve">RECOLHIDO 23/12/25 ENCARREGADO DEMETRIUS </t>
  </si>
  <si>
    <t xml:space="preserve">RECOLHIDO 1 PEÇA 19/12/25 ENCARREGADO YURE </t>
  </si>
  <si>
    <t xml:space="preserve"> ENCARREGADO YURE </t>
  </si>
  <si>
    <t xml:space="preserve">  21/11/2025 á 19/12/2025</t>
  </si>
  <si>
    <t xml:space="preserve">RECOLHID O 19/12/25 ENCARREGADO IGOR MONTE VERDE </t>
  </si>
  <si>
    <t xml:space="preserve">  14/12/2025 á 19/01/2026</t>
  </si>
  <si>
    <t xml:space="preserve">Local de entrega: Rua Elias Matoso, 77 , Vila Rica, Lagoa Santa -  MG . </t>
  </si>
  <si>
    <t xml:space="preserve">  14/01/2026 á 13/02/2026</t>
  </si>
  <si>
    <t xml:space="preserve">  07/01/2026 á 06/02/2026</t>
  </si>
  <si>
    <t xml:space="preserve">  09/01/2026 á 08/02/2026</t>
  </si>
  <si>
    <t xml:space="preserve">RUA WALTER DIAS RIBEIRO 41,VIENA,JUSTINOPOLIS ,RIBEIRÃO DAS NEVES </t>
  </si>
  <si>
    <t xml:space="preserve">FRETE 200,00ENCARREGADO YURE </t>
  </si>
  <si>
    <t xml:space="preserve">  05/02/2026 á 04/03/2026</t>
  </si>
  <si>
    <t xml:space="preserve">  24/01/2026 á 23/02/2026</t>
  </si>
  <si>
    <t xml:space="preserve">  03/01/2026 á 02/02/2026</t>
  </si>
  <si>
    <t xml:space="preserve">  25/01/2026 á 24/02/2026</t>
  </si>
  <si>
    <t xml:space="preserve">  21/01/2026 á 20/02/2026</t>
  </si>
  <si>
    <t xml:space="preserve">  29/01/2026 á 28/02/2026</t>
  </si>
  <si>
    <t xml:space="preserve">  10/01/2026 á 09/02/2026</t>
  </si>
  <si>
    <t xml:space="preserve">  01/01/2026 á 30/01/2026</t>
  </si>
  <si>
    <t xml:space="preserve">  14/02/2026 á 13/03/2026</t>
  </si>
  <si>
    <t xml:space="preserve">  09/02/2026 á 08/03/2026</t>
  </si>
  <si>
    <t xml:space="preserve">  07/02/2026 á 06/03/2026</t>
  </si>
  <si>
    <t xml:space="preserve">  05/03/2026 á 04/04/2026</t>
  </si>
  <si>
    <t xml:space="preserve">  24/02/2026 á 23/03/2026</t>
  </si>
  <si>
    <t xml:space="preserve">  03/02/2026 á 02/03/2026</t>
  </si>
  <si>
    <t xml:space="preserve">  25/02/2026 á 24/03/2026</t>
  </si>
  <si>
    <t xml:space="preserve">  21/02/2026 á 20/03/2026</t>
  </si>
  <si>
    <t xml:space="preserve">  29/02/2026 á 28/03/2026</t>
  </si>
  <si>
    <t xml:space="preserve">  10/02/2026 á 09/03/2026</t>
  </si>
  <si>
    <t xml:space="preserve">  01/02/2026 á 30/02/2026</t>
  </si>
  <si>
    <t xml:space="preserve">RUA DA VEREDA ,NOVA LIMA ,VILA DA SERRA </t>
  </si>
  <si>
    <t xml:space="preserve">  15/01/2026 á 14/02/2026</t>
  </si>
  <si>
    <t>RECOLHIDO 10/03/2026 ENCARREGADO  JOSÉ ALVES</t>
  </si>
  <si>
    <t xml:space="preserve">  15/02/2026 á 14/03/2026</t>
  </si>
  <si>
    <t xml:space="preserve">  14/03/2026 á 13/04/2026</t>
  </si>
  <si>
    <t xml:space="preserve">  09/03/2026 á 08/04/2026</t>
  </si>
  <si>
    <t xml:space="preserve">  07/03/2026 á 06/04/2026</t>
  </si>
  <si>
    <t xml:space="preserve">  05/04/2026 á 04/05/2026</t>
  </si>
  <si>
    <t xml:space="preserve">  03/03/2026 á 02/04/2026</t>
  </si>
  <si>
    <t xml:space="preserve">  25/03/2026 á 24/04/2026</t>
  </si>
  <si>
    <t xml:space="preserve">  21/03/2026 á 20/04/2026</t>
  </si>
  <si>
    <t xml:space="preserve">  29/03/2026 á 28/04/2026</t>
  </si>
  <si>
    <t xml:space="preserve">  10/03/2026 á 09/04/2026</t>
  </si>
  <si>
    <t xml:space="preserve">  01/03/2026 á 30/03/2026</t>
  </si>
  <si>
    <t xml:space="preserve">  23/02/2026 á 22/03/2026</t>
  </si>
  <si>
    <t xml:space="preserve">AV PRINCESA ISABEL 20,B:SÃO JOAQUIM </t>
  </si>
  <si>
    <t xml:space="preserve">  02/04/2026 á 01/05/2026</t>
  </si>
  <si>
    <t xml:space="preserve">RUA SAPUCAI 74 , VALE DO SERENO ,NOVA LIMA/MG </t>
  </si>
  <si>
    <t xml:space="preserve">  30/03/2026 á 29/04/2026</t>
  </si>
  <si>
    <t xml:space="preserve">FRETE 200,00  ENCARREGADO MAGNO </t>
  </si>
  <si>
    <t>GARUJÁ MANSÕES</t>
  </si>
  <si>
    <t>RECOLHIDO 04/02/2026 ENCARREGADO MONTE VERDE RAFAEL</t>
  </si>
  <si>
    <t>ALPHAVILLE</t>
  </si>
  <si>
    <t xml:space="preserve">  06/04/2026 á 05/05/2026</t>
  </si>
  <si>
    <t>TRANSFERIDO DE NOVA LIMA/MONTE VERDE</t>
  </si>
  <si>
    <t xml:space="preserve">RECOLHIDO 15/04 ENCARREGADO YURE </t>
  </si>
  <si>
    <t xml:space="preserve">RECOLHIDO 15/04  ENCARREGADO YURE </t>
  </si>
  <si>
    <t xml:space="preserve">  02/05/2026 á 01/06/2026</t>
  </si>
  <si>
    <t xml:space="preserve">  23/03/2026 á 22/04/2026</t>
  </si>
  <si>
    <t xml:space="preserve">  30/04/2026 á 29/05/2026</t>
  </si>
  <si>
    <t xml:space="preserve"> ENCARREGADO MAGNO </t>
  </si>
  <si>
    <t xml:space="preserve">  15/03/2026 á 14/04/2026</t>
  </si>
  <si>
    <t xml:space="preserve">  09/04/2026 á 08/05/2026</t>
  </si>
  <si>
    <t xml:space="preserve">  07/04/2026 á 15/04/2026</t>
  </si>
  <si>
    <t xml:space="preserve">  05/05/2026 á 04/06/2026</t>
  </si>
  <si>
    <t xml:space="preserve">  03/04/2026 á 02/05/2026</t>
  </si>
  <si>
    <t xml:space="preserve">  25/04/2026 á 24/05/2026</t>
  </si>
  <si>
    <t xml:space="preserve">  21/04/2026 á 20/05/2026</t>
  </si>
  <si>
    <t xml:space="preserve">  29/04/2026 á 28/05/2026</t>
  </si>
  <si>
    <t xml:space="preserve">  10/04/2026 á 09/05/2026</t>
  </si>
  <si>
    <t xml:space="preserve">  01/04/2026 á 30/04/2026</t>
  </si>
  <si>
    <t xml:space="preserve">  06/05/2026 á 05/06/2026</t>
  </si>
  <si>
    <t xml:space="preserve">  02/06/2026 á 01/07/2026</t>
  </si>
  <si>
    <t xml:space="preserve">  23/04/2026 á 22/05/2026</t>
  </si>
  <si>
    <t xml:space="preserve">  30/05/2026 á 29/06/2026</t>
  </si>
  <si>
    <t xml:space="preserve">  15/04/2026 á 14/05/2026</t>
  </si>
  <si>
    <t xml:space="preserve">  09/05/2026 á 08/06/2026</t>
  </si>
  <si>
    <t xml:space="preserve">  05/06/2026 á 04/07/2026</t>
  </si>
  <si>
    <t xml:space="preserve">  03/05/2026 á 02/06/2026</t>
  </si>
  <si>
    <t xml:space="preserve">  25/05/2026 á 24/06/2026</t>
  </si>
  <si>
    <t xml:space="preserve">  21/05/2026 á 20/06/2026</t>
  </si>
  <si>
    <t xml:space="preserve">  29/05/2026 á 28/06/2026</t>
  </si>
  <si>
    <t xml:space="preserve">  10/05/2026 á 09/06/2026</t>
  </si>
  <si>
    <t xml:space="preserve">  01/05/2026 á 30/05/2026</t>
  </si>
  <si>
    <t>RUA VINTE E SEIS A ,520 - OITIS ,CONTAGEM ,MG -32141-116</t>
  </si>
  <si>
    <t>RECOLHIDO 27/05/26  FRETE RS200,00 SOLICITANTE EDEVALDO</t>
  </si>
  <si>
    <t xml:space="preserve">RECOLHIDO 09/06/26  ENCARREGADO IGOR MONTE VERDE </t>
  </si>
  <si>
    <t>CONSTRUTORA DRAGAGEM PARAOPEBA LTDA, 18.322.925/0001-14,RODOVIA BR 040, KM 523.5, LOTE: A, B: GUANABARA, CONTAGEM-MG, CEP: 32.150.340. SOLICITADO POR ADRIANO                                                                                  STEPHANNE: 97180-4294 / 3394-6347.     administrativo@grupoparaopeba.com.br   Ketlyn.vitoria@grupoparaopeba.com.br</t>
  </si>
  <si>
    <t xml:space="preserve">  22/05/2026 á 27/05/2026</t>
  </si>
  <si>
    <t xml:space="preserve">  02/07/2026 á 01/08/2026</t>
  </si>
  <si>
    <t xml:space="preserve">  15/05/2026 á 14/06/2026</t>
  </si>
  <si>
    <t xml:space="preserve">  25/06/2026 á 24/07/2026</t>
  </si>
  <si>
    <t xml:space="preserve">  21/06/2026 á 20/07/2026</t>
  </si>
  <si>
    <t xml:space="preserve">  09/06/2026 á 08/07/2026</t>
  </si>
  <si>
    <t xml:space="preserve">  01/06/2026 á 30/06/2026</t>
  </si>
  <si>
    <t xml:space="preserve">  06/06/2026 á 05/07/2026</t>
  </si>
  <si>
    <t xml:space="preserve">  23/05/2026 á 09/06/2026</t>
  </si>
  <si>
    <t xml:space="preserve">  30/06/2026 á 29/07/2026</t>
  </si>
  <si>
    <t xml:space="preserve">  05/07/2026 á 04/08/2026</t>
  </si>
  <si>
    <t xml:space="preserve">  29/06/2026 á 28/07/2026</t>
  </si>
  <si>
    <t xml:space="preserve">  10/06/2026 á 09/07/2026</t>
  </si>
  <si>
    <t>Pousada Mar Mineiro, Estrada da Servidão, 71 - Macacos, Nova Lima - MG, 34019-899</t>
  </si>
  <si>
    <t xml:space="preserve">  18/06/2026 á 17/07/2026</t>
  </si>
  <si>
    <t xml:space="preserve">FRETE 200,00 ENCARREGADO DEMETRIUS </t>
  </si>
  <si>
    <t xml:space="preserve">RECOLHIDO 18/06/26 ENCARREGADO DEMETRIUS </t>
  </si>
  <si>
    <t xml:space="preserve">RECOLHIDO 26/05/26 ENCARREGADO DEMETRIUS </t>
  </si>
  <si>
    <t xml:space="preserve">FRETE 200,00 -ENCARREGADO YURE </t>
  </si>
  <si>
    <t xml:space="preserve">  23/06/2026 á 22/07/2026</t>
  </si>
  <si>
    <t>RUA MARIA DA CONCEIÇÃO DE SÃO JOSÉ 281, CENTRO ,CONTAGEM MG- 32041-290</t>
  </si>
  <si>
    <t>BANDEIRINHAS -BETIM -PREMOLDADOS SAMPAIO</t>
  </si>
  <si>
    <t xml:space="preserve">  16/06/2026 á 15/07/2026</t>
  </si>
  <si>
    <t xml:space="preserve">ENCARREGADO ADRIANO  </t>
  </si>
  <si>
    <t xml:space="preserve">FRETE 200,00 -ENCARREGADO  </t>
  </si>
  <si>
    <t>RUA JATOBA 242 , VALE DO SERENO - NOVA LIMA</t>
  </si>
  <si>
    <t xml:space="preserve">  01/07/2026 á 30/07/2026</t>
  </si>
  <si>
    <t xml:space="preserve">RUA MONTE CASTELO 1784 , VILA REAL (JUSTINOPOLIS) RIBEIRÃO DAS NEVES </t>
  </si>
  <si>
    <t>RECOLHIDO 16/07/26 TRANSFERIDO DE NOVA LIMA/MONTE VERDE</t>
  </si>
  <si>
    <t xml:space="preserve">RECOLHIDO 18/07/26 ENCARREGADO YURE </t>
  </si>
  <si>
    <t xml:space="preserve">  18/07/2026 á 17/08/2026</t>
  </si>
  <si>
    <t xml:space="preserve">  16/07/2026 á 15/08/2026</t>
  </si>
  <si>
    <t xml:space="preserve">ENCARREGADO  </t>
  </si>
  <si>
    <t xml:space="preserve">  23/07/2026 á 22/08/2026</t>
  </si>
  <si>
    <t xml:space="preserve">  01/08/2026 á 30/08/2026</t>
  </si>
  <si>
    <t xml:space="preserve">  06/07/2026 á 16/07/2026</t>
  </si>
  <si>
    <t xml:space="preserve">  02/08/2026 á 01/09/2026</t>
  </si>
  <si>
    <t xml:space="preserve">  30/07/2026 á 29/08/2026</t>
  </si>
  <si>
    <t xml:space="preserve">  15/06/2026 á 14/07/2026</t>
  </si>
  <si>
    <t xml:space="preserve">  09/07/2026 á 08/08/2026</t>
  </si>
  <si>
    <t xml:space="preserve">  05/08/2026 á 04/09/2026</t>
  </si>
  <si>
    <t xml:space="preserve">  10/06/2026 á 18/06/2026</t>
  </si>
  <si>
    <t xml:space="preserve">  25/07/2026 á 24/08/2026</t>
  </si>
  <si>
    <t xml:space="preserve">  21/07/2026 á 20/08/2026</t>
  </si>
  <si>
    <t xml:space="preserve">  10/07/2026 á 09/08/2026</t>
  </si>
  <si>
    <t xml:space="preserve">  18/08/2026 á 17/09/2026</t>
  </si>
  <si>
    <t xml:space="preserve">  16/08/2026 á 15/09/2026</t>
  </si>
  <si>
    <t xml:space="preserve">  23/08/2026 á 22/09/2026</t>
  </si>
  <si>
    <t xml:space="preserve">  01/09/2026 á 30/09/2026</t>
  </si>
  <si>
    <t xml:space="preserve">  02/09/2026 á 01/10/2026</t>
  </si>
  <si>
    <t xml:space="preserve">  30/08/2026 á 29/09/2026</t>
  </si>
  <si>
    <t xml:space="preserve">  15/07/2026 á 14/08/2026</t>
  </si>
  <si>
    <t xml:space="preserve">  09/08/2026 á 08/09/2026</t>
  </si>
  <si>
    <t xml:space="preserve">  05/09/2026 á 04/10/2026</t>
  </si>
  <si>
    <t xml:space="preserve">  25/08/2026 á 24/09/2026</t>
  </si>
  <si>
    <t xml:space="preserve">  21/08/2026 á 20/09/2026</t>
  </si>
  <si>
    <t xml:space="preserve">  10/08/2026 á 09/09/2026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</si>
</sst>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 Black"/>
      <family val="2"/>
    </font>
    <font>
      <b/>
      <sz val="9"/>
      <color theme="1"/>
      <name val="Arial"/>
      <family val="2"/>
    </font>
    <font>
      <b/>
      <sz val="9"/>
      <color theme="1"/>
      <name val="Arial Black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sz val="11"/>
      <color rgb="FF202124"/>
      <name val="Calibri"/>
      <family val="2"/>
      <scheme val="minor"/>
    </font>
    <font>
      <b/>
      <sz val="10"/>
      <color rgb="FF202124"/>
      <name val="Calibri"/>
      <family val="2"/>
      <scheme val="minor"/>
    </font>
    <font>
      <b/>
      <sz val="11"/>
      <color theme="5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1"/>
      <name val="Algerian"/>
      <family val="5"/>
    </font>
    <font>
      <b/>
      <sz val="11"/>
      <color theme="7" tint="0.39994506668294322"/>
      <name val="Calibri"/>
      <family val="2"/>
      <scheme val="minor"/>
    </font>
    <font>
      <b/>
      <sz val="10"/>
      <color theme="7" tint="0.39994506668294322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theme="7" tint="0.59999389629810485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9"/>
      <name val="Arial"/>
      <family val="2"/>
    </font>
    <font>
      <b/>
      <sz val="10"/>
      <color rgb="FF0F1729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200">
    <xf numFmtId="0" fontId="0" fillId="0" borderId="0" xfId="0"/>
    <xf numFmtId="0" fontId="0" fillId="2" borderId="0" xfId="0" applyFill="1"/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9" fillId="4" borderId="1" xfId="0" applyFont="1" applyFill="1" applyBorder="1"/>
    <xf numFmtId="0" fontId="9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/>
    </xf>
    <xf numFmtId="3" fontId="0" fillId="4" borderId="1" xfId="0" applyNumberForma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wrapText="1"/>
    </xf>
    <xf numFmtId="0" fontId="0" fillId="4" borderId="1" xfId="0" applyFill="1" applyBorder="1"/>
    <xf numFmtId="0" fontId="0" fillId="5" borderId="0" xfId="0" applyFill="1"/>
    <xf numFmtId="3" fontId="0" fillId="0" borderId="0" xfId="0" applyNumberFormat="1" applyAlignment="1">
      <alignment vertical="center" wrapText="1"/>
    </xf>
    <xf numFmtId="0" fontId="0" fillId="6" borderId="0" xfId="0" applyFill="1"/>
    <xf numFmtId="0" fontId="9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wrapText="1"/>
    </xf>
    <xf numFmtId="3" fontId="0" fillId="6" borderId="1" xfId="0" applyNumberFormat="1" applyFill="1" applyBorder="1" applyAlignment="1">
      <alignment horizontal="center" wrapText="1"/>
    </xf>
    <xf numFmtId="3" fontId="0" fillId="6" borderId="1" xfId="0" applyNumberFormat="1" applyFill="1" applyBorder="1" applyAlignment="1">
      <alignment horizontal="center"/>
    </xf>
    <xf numFmtId="0" fontId="12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wrapText="1"/>
    </xf>
    <xf numFmtId="0" fontId="14" fillId="6" borderId="1" xfId="0" applyFont="1" applyFill="1" applyBorder="1" applyAlignment="1">
      <alignment horizontal="center" vertical="center" wrapText="1"/>
    </xf>
    <xf numFmtId="17" fontId="9" fillId="6" borderId="1" xfId="0" applyNumberFormat="1" applyFont="1" applyFill="1" applyBorder="1" applyAlignment="1">
      <alignment horizontal="center" vertical="center" wrapText="1"/>
    </xf>
    <xf numFmtId="3" fontId="0" fillId="6" borderId="1" xfId="0" applyNumberFormat="1" applyFill="1" applyBorder="1"/>
    <xf numFmtId="0" fontId="15" fillId="6" borderId="1" xfId="0" applyFont="1" applyFill="1" applyBorder="1" applyAlignment="1">
      <alignment horizontal="center" wrapText="1"/>
    </xf>
    <xf numFmtId="3" fontId="0" fillId="6" borderId="1" xfId="0" applyNumberFormat="1" applyFill="1" applyBorder="1" applyAlignment="1">
      <alignment horizontal="center" vertical="center" wrapText="1"/>
    </xf>
    <xf numFmtId="3" fontId="0" fillId="6" borderId="1" xfId="0" applyNumberFormat="1" applyFill="1" applyBorder="1" applyAlignment="1">
      <alignment horizontal="center" vertical="center"/>
    </xf>
    <xf numFmtId="14" fontId="9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wrapText="1"/>
    </xf>
    <xf numFmtId="0" fontId="16" fillId="6" borderId="1" xfId="0" applyFont="1" applyFill="1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center"/>
    </xf>
    <xf numFmtId="0" fontId="0" fillId="6" borderId="1" xfId="0" applyFill="1" applyBorder="1"/>
    <xf numFmtId="16" fontId="0" fillId="6" borderId="1" xfId="0" applyNumberFormat="1" applyFill="1" applyBorder="1"/>
    <xf numFmtId="0" fontId="9" fillId="6" borderId="1" xfId="0" applyFont="1" applyFill="1" applyBorder="1"/>
    <xf numFmtId="3" fontId="0" fillId="0" borderId="0" xfId="0" applyNumberFormat="1"/>
    <xf numFmtId="0" fontId="0" fillId="7" borderId="0" xfId="0" applyFill="1"/>
    <xf numFmtId="0" fontId="6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3" fontId="0" fillId="8" borderId="1" xfId="0" applyNumberFormat="1" applyFill="1" applyBorder="1"/>
    <xf numFmtId="3" fontId="9" fillId="4" borderId="1" xfId="0" applyNumberFormat="1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wrapText="1"/>
    </xf>
    <xf numFmtId="0" fontId="17" fillId="6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0" xfId="0" applyFill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164" fontId="9" fillId="6" borderId="1" xfId="0" applyNumberFormat="1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wrapText="1"/>
    </xf>
    <xf numFmtId="0" fontId="20" fillId="6" borderId="1" xfId="0" applyFont="1" applyFill="1" applyBorder="1" applyAlignment="1">
      <alignment horizontal="center" wrapText="1"/>
    </xf>
    <xf numFmtId="0" fontId="12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/>
    <xf numFmtId="0" fontId="9" fillId="10" borderId="1" xfId="0" applyFont="1" applyFill="1" applyBorder="1" applyAlignment="1">
      <alignment horizontal="center"/>
    </xf>
    <xf numFmtId="164" fontId="9" fillId="10" borderId="1" xfId="0" applyNumberFormat="1" applyFont="1" applyFill="1" applyBorder="1"/>
    <xf numFmtId="0" fontId="0" fillId="2" borderId="0" xfId="0" applyFill="1" applyAlignment="1">
      <alignment vertical="center" wrapText="1"/>
    </xf>
    <xf numFmtId="0" fontId="9" fillId="6" borderId="0" xfId="0" applyFont="1" applyFill="1" applyAlignment="1">
      <alignment horizontal="center" vertical="center" wrapText="1"/>
    </xf>
    <xf numFmtId="0" fontId="22" fillId="6" borderId="1" xfId="1" applyFill="1" applyBorder="1" applyAlignment="1">
      <alignment horizontal="center" vertical="center" wrapText="1"/>
    </xf>
    <xf numFmtId="14" fontId="9" fillId="2" borderId="1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14" fontId="9" fillId="9" borderId="1" xfId="0" applyNumberFormat="1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12" fillId="6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19" fillId="6" borderId="0" xfId="0" applyFont="1" applyFill="1" applyAlignment="1">
      <alignment horizontal="center" wrapText="1"/>
    </xf>
    <xf numFmtId="0" fontId="12" fillId="1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9" fillId="2" borderId="1" xfId="0" applyFont="1" applyFill="1" applyBorder="1" applyAlignment="1">
      <alignment horizontal="center"/>
    </xf>
    <xf numFmtId="164" fontId="0" fillId="2" borderId="1" xfId="0" applyNumberFormat="1" applyFill="1" applyBorder="1"/>
    <xf numFmtId="0" fontId="9" fillId="9" borderId="0" xfId="0" applyFont="1" applyFill="1" applyAlignment="1">
      <alignment horizontal="center" wrapText="1"/>
    </xf>
    <xf numFmtId="164" fontId="0" fillId="2" borderId="0" xfId="0" applyNumberFormat="1" applyFill="1"/>
    <xf numFmtId="0" fontId="25" fillId="9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/>
    </xf>
    <xf numFmtId="164" fontId="9" fillId="14" borderId="1" xfId="0" applyNumberFormat="1" applyFont="1" applyFill="1" applyBorder="1" applyAlignment="1">
      <alignment horizontal="center"/>
    </xf>
    <xf numFmtId="0" fontId="9" fillId="13" borderId="0" xfId="0" applyFont="1" applyFill="1" applyAlignment="1">
      <alignment horizontal="center" vertical="center" wrapText="1"/>
    </xf>
    <xf numFmtId="0" fontId="9" fillId="13" borderId="2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23" fillId="6" borderId="4" xfId="0" applyFont="1" applyFill="1" applyBorder="1" applyAlignment="1">
      <alignment horizontal="center" vertical="center" wrapText="1"/>
    </xf>
    <xf numFmtId="164" fontId="9" fillId="6" borderId="4" xfId="0" applyNumberFormat="1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14" fontId="9" fillId="6" borderId="4" xfId="0" applyNumberFormat="1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16" fontId="5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4" fontId="7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3" fontId="5" fillId="9" borderId="1" xfId="0" applyNumberFormat="1" applyFont="1" applyFill="1" applyBorder="1" applyAlignment="1">
      <alignment horizontal="center" vertical="center"/>
    </xf>
    <xf numFmtId="3" fontId="5" fillId="9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2" fontId="8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14" fontId="0" fillId="2" borderId="1" xfId="0" applyNumberFormat="1" applyFill="1" applyBorder="1"/>
    <xf numFmtId="0" fontId="3" fillId="2" borderId="1" xfId="0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4" fontId="5" fillId="6" borderId="1" xfId="0" applyNumberFormat="1" applyFont="1" applyFill="1" applyBorder="1" applyAlignment="1">
      <alignment horizontal="center" vertical="center" wrapText="1"/>
    </xf>
    <xf numFmtId="164" fontId="0" fillId="11" borderId="0" xfId="0" applyNumberFormat="1" applyFill="1"/>
    <xf numFmtId="0" fontId="7" fillId="15" borderId="1" xfId="0" applyFont="1" applyFill="1" applyBorder="1" applyAlignment="1">
      <alignment horizontal="center" vertical="center" wrapText="1"/>
    </xf>
    <xf numFmtId="164" fontId="5" fillId="15" borderId="1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0" fillId="15" borderId="0" xfId="0" applyFill="1"/>
    <xf numFmtId="164" fontId="0" fillId="15" borderId="0" xfId="0" applyNumberFormat="1" applyFill="1"/>
    <xf numFmtId="3" fontId="5" fillId="15" borderId="1" xfId="0" applyNumberFormat="1" applyFont="1" applyFill="1" applyBorder="1" applyAlignment="1">
      <alignment horizontal="center" vertical="center" wrapText="1"/>
    </xf>
    <xf numFmtId="2" fontId="5" fillId="15" borderId="1" xfId="0" applyNumberFormat="1" applyFont="1" applyFill="1" applyBorder="1" applyAlignment="1">
      <alignment horizontal="center" vertical="center" wrapText="1"/>
    </xf>
    <xf numFmtId="2" fontId="0" fillId="15" borderId="0" xfId="0" applyNumberFormat="1" applyFill="1"/>
    <xf numFmtId="0" fontId="9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wrapText="1"/>
    </xf>
    <xf numFmtId="0" fontId="9" fillId="15" borderId="1" xfId="0" applyFont="1" applyFill="1" applyBorder="1" applyAlignment="1">
      <alignment horizontal="center" vertical="center" wrapText="1"/>
    </xf>
    <xf numFmtId="3" fontId="9" fillId="15" borderId="1" xfId="0" applyNumberFormat="1" applyFont="1" applyFill="1" applyBorder="1" applyAlignment="1">
      <alignment horizontal="center" vertical="center" wrapText="1"/>
    </xf>
    <xf numFmtId="2" fontId="9" fillId="15" borderId="1" xfId="0" applyNumberFormat="1" applyFont="1" applyFill="1" applyBorder="1" applyAlignment="1">
      <alignment horizontal="center" vertical="center" wrapText="1"/>
    </xf>
    <xf numFmtId="14" fontId="9" fillId="15" borderId="1" xfId="0" applyNumberFormat="1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9" fillId="15" borderId="0" xfId="0" applyFont="1" applyFill="1"/>
    <xf numFmtId="164" fontId="9" fillId="15" borderId="1" xfId="0" applyNumberFormat="1" applyFont="1" applyFill="1" applyBorder="1" applyAlignment="1">
      <alignment horizontal="center" vertical="center" wrapText="1"/>
    </xf>
    <xf numFmtId="164" fontId="9" fillId="9" borderId="0" xfId="0" applyNumberFormat="1" applyFont="1" applyFill="1"/>
    <xf numFmtId="0" fontId="6" fillId="16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0" borderId="0" xfId="0" applyFont="1"/>
    <xf numFmtId="0" fontId="11" fillId="3" borderId="1" xfId="0" applyFont="1" applyFill="1" applyBorder="1" applyAlignment="1">
      <alignment horizontal="center" vertical="center" wrapText="1"/>
    </xf>
    <xf numFmtId="0" fontId="11" fillId="2" borderId="0" xfId="0" applyFont="1" applyFill="1"/>
    <xf numFmtId="0" fontId="11" fillId="0" borderId="0" xfId="0" applyFont="1"/>
    <xf numFmtId="0" fontId="11" fillId="16" borderId="1" xfId="0" applyFont="1" applyFill="1" applyBorder="1" applyAlignment="1">
      <alignment horizontal="center" vertical="center" wrapText="1"/>
    </xf>
    <xf numFmtId="0" fontId="9" fillId="2" borderId="0" xfId="0" applyFont="1" applyFill="1"/>
    <xf numFmtId="164" fontId="11" fillId="3" borderId="1" xfId="0" applyNumberFormat="1" applyFont="1" applyFill="1" applyBorder="1" applyAlignment="1">
      <alignment horizontal="center" vertical="center" wrapText="1"/>
    </xf>
    <xf numFmtId="164" fontId="11" fillId="9" borderId="0" xfId="0" applyNumberFormat="1" applyFont="1" applyFill="1"/>
    <xf numFmtId="164" fontId="11" fillId="0" borderId="0" xfId="0" applyNumberFormat="1" applyFont="1"/>
    <xf numFmtId="164" fontId="11" fillId="2" borderId="0" xfId="0" applyNumberFormat="1" applyFont="1" applyFill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15" borderId="1" xfId="0" applyFont="1" applyFill="1" applyBorder="1" applyAlignment="1">
      <alignment horizontal="center" vertical="center" wrapText="1"/>
    </xf>
    <xf numFmtId="164" fontId="11" fillId="15" borderId="1" xfId="0" applyNumberFormat="1" applyFont="1" applyFill="1" applyBorder="1" applyAlignment="1">
      <alignment horizontal="center" vertical="center" wrapText="1"/>
    </xf>
    <xf numFmtId="14" fontId="11" fillId="15" borderId="1" xfId="0" applyNumberFormat="1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2" fillId="15" borderId="0" xfId="0" applyFont="1" applyFill="1" applyAlignment="1">
      <alignment horizontal="center" vertical="center" wrapText="1"/>
    </xf>
    <xf numFmtId="0" fontId="32" fillId="2" borderId="0" xfId="0" applyFont="1" applyFill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14" fontId="1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www.wps.cn/officeDocument/2023/relationships/customStorage" Target="customStorage/customStorage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administrativo3@grupoparaopeba.com.br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istrativo3@grupoparaopeba.com.br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administrativo3@grupoparaopeba.com.br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administrativo3@grupoparaopeba.com.br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DD5"/>
  <sheetViews>
    <sheetView topLeftCell="A4" workbookViewId="0">
      <selection activeCell="B11" sqref="B11"/>
    </sheetView>
  </sheetViews>
  <sheetFormatPr defaultColWidth="9" defaultRowHeight="15"/>
  <cols>
    <col min="1" max="1" width="22.85546875" customWidth="1"/>
    <col min="2" max="2" width="19.140625" customWidth="1"/>
    <col min="3" max="3" width="11.7109375" customWidth="1"/>
    <col min="4" max="4" width="15.5703125" customWidth="1"/>
    <col min="6" max="6" width="23.28515625" customWidth="1"/>
    <col min="7" max="7" width="11.28515625" customWidth="1"/>
    <col min="8" max="8" width="14.42578125" customWidth="1"/>
    <col min="9" max="9" width="15.7109375" customWidth="1"/>
    <col min="10" max="10" width="12.85546875" customWidth="1"/>
    <col min="11" max="11" width="19.42578125" customWidth="1"/>
    <col min="12" max="12" width="19.140625" customWidth="1"/>
    <col min="13" max="13" width="44.42578125" customWidth="1"/>
  </cols>
  <sheetData>
    <row r="1" spans="1:108" s="58" customFormat="1" ht="70.5" customHeight="1">
      <c r="A1" s="5" t="s">
        <v>0</v>
      </c>
      <c r="B1" s="7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</row>
    <row r="2" spans="1:108" s="59" customFormat="1" ht="115.5" customHeight="1">
      <c r="A2" s="25" t="s">
        <v>13</v>
      </c>
      <c r="B2" s="20"/>
      <c r="C2" s="20" t="s">
        <v>14</v>
      </c>
      <c r="D2" s="20" t="s">
        <v>15</v>
      </c>
      <c r="E2" s="20">
        <v>1</v>
      </c>
      <c r="F2" s="20" t="s">
        <v>16</v>
      </c>
      <c r="G2" s="60">
        <v>950</v>
      </c>
      <c r="H2" s="20">
        <v>4</v>
      </c>
      <c r="I2" s="20" t="s">
        <v>17</v>
      </c>
      <c r="J2" s="20">
        <v>2</v>
      </c>
      <c r="K2" s="34"/>
      <c r="L2" s="20"/>
      <c r="M2" s="20" t="s">
        <v>18</v>
      </c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7"/>
    </row>
    <row r="3" spans="1:108" s="20" customFormat="1" ht="115.5" customHeight="1">
      <c r="A3" s="25" t="s">
        <v>13</v>
      </c>
      <c r="C3" s="20" t="s">
        <v>19</v>
      </c>
      <c r="D3" s="20" t="s">
        <v>20</v>
      </c>
      <c r="E3" s="20">
        <v>1</v>
      </c>
      <c r="F3" s="20" t="s">
        <v>21</v>
      </c>
      <c r="G3" s="60">
        <v>1300</v>
      </c>
      <c r="H3" s="20">
        <v>4</v>
      </c>
      <c r="I3" s="20" t="s">
        <v>17</v>
      </c>
      <c r="J3" s="20">
        <v>2</v>
      </c>
      <c r="K3" s="34">
        <v>45262</v>
      </c>
      <c r="M3" s="20" t="s">
        <v>22</v>
      </c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1"/>
      <c r="CZ3" s="71"/>
      <c r="DA3" s="71"/>
      <c r="DB3" s="71"/>
      <c r="DC3" s="71"/>
      <c r="DD3" s="76"/>
    </row>
    <row r="4" spans="1:108" s="20" customFormat="1" ht="115.5" customHeight="1">
      <c r="A4" s="25" t="s">
        <v>13</v>
      </c>
      <c r="C4" s="20" t="s">
        <v>23</v>
      </c>
      <c r="D4" s="20" t="s">
        <v>24</v>
      </c>
      <c r="E4" s="20">
        <v>1</v>
      </c>
      <c r="F4" s="20" t="s">
        <v>25</v>
      </c>
      <c r="G4" s="60">
        <v>950</v>
      </c>
      <c r="H4" s="20">
        <v>4</v>
      </c>
      <c r="I4" s="20" t="s">
        <v>17</v>
      </c>
      <c r="J4" s="20">
        <v>2</v>
      </c>
      <c r="K4" s="34">
        <v>44568</v>
      </c>
      <c r="M4" s="20" t="s">
        <v>22</v>
      </c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71"/>
      <c r="CN4" s="71"/>
      <c r="CO4" s="71"/>
      <c r="CP4" s="71"/>
      <c r="CQ4" s="71"/>
      <c r="CR4" s="71"/>
      <c r="CS4" s="71"/>
      <c r="CT4" s="71"/>
      <c r="CU4" s="71"/>
      <c r="CV4" s="71"/>
      <c r="CW4" s="71"/>
      <c r="CX4" s="71"/>
      <c r="CY4" s="71"/>
      <c r="CZ4" s="71"/>
      <c r="DA4" s="71"/>
      <c r="DB4" s="71"/>
      <c r="DC4" s="71"/>
      <c r="DD4" s="76"/>
    </row>
    <row r="5" spans="1:108" ht="54" customHeight="1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:DD4"/>
  <sheetViews>
    <sheetView topLeftCell="A4" workbookViewId="0">
      <selection activeCell="A2" sqref="A2:XFD2"/>
    </sheetView>
  </sheetViews>
  <sheetFormatPr defaultColWidth="9" defaultRowHeight="15"/>
  <cols>
    <col min="1" max="1" width="21.7109375" customWidth="1"/>
    <col min="2" max="2" width="15" customWidth="1"/>
    <col min="3" max="3" width="14.42578125" customWidth="1"/>
    <col min="4" max="4" width="17.7109375" customWidth="1"/>
    <col min="5" max="5" width="14.42578125" customWidth="1"/>
    <col min="6" max="6" width="20.85546875" customWidth="1"/>
    <col min="7" max="7" width="16.42578125" customWidth="1"/>
    <col min="9" max="9" width="14.140625" customWidth="1"/>
    <col min="11" max="11" width="17.5703125" customWidth="1"/>
    <col min="13" max="13" width="54.5703125" customWidth="1"/>
  </cols>
  <sheetData>
    <row r="1" spans="1:108" s="58" customFormat="1" ht="70.5" customHeight="1">
      <c r="A1" s="5" t="s">
        <v>0</v>
      </c>
      <c r="B1" s="7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</row>
    <row r="2" spans="1:108" s="59" customFormat="1" ht="115.5" customHeight="1">
      <c r="A2" s="25" t="s">
        <v>13</v>
      </c>
      <c r="B2" s="20"/>
      <c r="C2" s="20" t="s">
        <v>14</v>
      </c>
      <c r="D2" s="20" t="s">
        <v>26</v>
      </c>
      <c r="E2" s="20">
        <v>1</v>
      </c>
      <c r="F2" s="20" t="s">
        <v>16</v>
      </c>
      <c r="G2" s="60">
        <v>950</v>
      </c>
      <c r="H2" s="20">
        <v>4</v>
      </c>
      <c r="I2" s="20" t="s">
        <v>17</v>
      </c>
      <c r="J2" s="20">
        <v>2</v>
      </c>
      <c r="K2" s="34"/>
      <c r="L2" s="20"/>
      <c r="M2" s="20" t="s">
        <v>18</v>
      </c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7"/>
    </row>
    <row r="3" spans="1:108" s="20" customFormat="1" ht="115.5" customHeight="1">
      <c r="A3" s="25" t="s">
        <v>13</v>
      </c>
      <c r="C3" s="20" t="s">
        <v>19</v>
      </c>
      <c r="D3" s="20" t="s">
        <v>27</v>
      </c>
      <c r="E3" s="20">
        <v>1</v>
      </c>
      <c r="F3" s="20" t="s">
        <v>21</v>
      </c>
      <c r="G3" s="60">
        <v>1300</v>
      </c>
      <c r="H3" s="20">
        <v>4</v>
      </c>
      <c r="I3" s="20" t="s">
        <v>17</v>
      </c>
      <c r="J3" s="20">
        <v>2</v>
      </c>
      <c r="K3" s="34">
        <v>45262</v>
      </c>
      <c r="M3" s="20" t="s">
        <v>22</v>
      </c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1"/>
      <c r="CZ3" s="71"/>
      <c r="DA3" s="71"/>
      <c r="DB3" s="71"/>
      <c r="DC3" s="71"/>
      <c r="DD3" s="76"/>
    </row>
    <row r="4" spans="1:108" s="20" customFormat="1" ht="115.5" customHeight="1">
      <c r="A4" s="25" t="s">
        <v>13</v>
      </c>
      <c r="C4" s="20" t="s">
        <v>23</v>
      </c>
      <c r="D4" s="20" t="s">
        <v>28</v>
      </c>
      <c r="E4" s="20">
        <v>1</v>
      </c>
      <c r="F4" s="20" t="s">
        <v>25</v>
      </c>
      <c r="G4" s="60">
        <v>950</v>
      </c>
      <c r="H4" s="20">
        <v>4</v>
      </c>
      <c r="I4" s="20" t="s">
        <v>17</v>
      </c>
      <c r="J4" s="20">
        <v>2</v>
      </c>
      <c r="K4" s="34">
        <v>44568</v>
      </c>
      <c r="M4" s="20" t="s">
        <v>22</v>
      </c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71"/>
      <c r="CN4" s="71"/>
      <c r="CO4" s="71"/>
      <c r="CP4" s="71"/>
      <c r="CQ4" s="71"/>
      <c r="CR4" s="71"/>
      <c r="CS4" s="71"/>
      <c r="CT4" s="71"/>
      <c r="CU4" s="71"/>
      <c r="CV4" s="71"/>
      <c r="CW4" s="71"/>
      <c r="CX4" s="71"/>
      <c r="CY4" s="71"/>
      <c r="CZ4" s="71"/>
      <c r="DA4" s="71"/>
      <c r="DB4" s="71"/>
      <c r="DC4" s="71"/>
      <c r="DD4" s="76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/>
  <dimension ref="A1:DD17"/>
  <sheetViews>
    <sheetView topLeftCell="A7" workbookViewId="0">
      <selection activeCell="E9" sqref="E9"/>
    </sheetView>
  </sheetViews>
  <sheetFormatPr defaultColWidth="9" defaultRowHeight="15"/>
  <cols>
    <col min="1" max="1" width="18.42578125" customWidth="1"/>
    <col min="2" max="2" width="17" customWidth="1"/>
    <col min="3" max="3" width="8.140625" customWidth="1"/>
    <col min="4" max="4" width="12.140625" customWidth="1"/>
    <col min="5" max="5" width="6.7109375" customWidth="1"/>
    <col min="6" max="6" width="20.28515625" customWidth="1"/>
    <col min="7" max="7" width="14.5703125" customWidth="1"/>
    <col min="11" max="11" width="15.140625" customWidth="1"/>
    <col min="13" max="13" width="65.7109375" customWidth="1"/>
  </cols>
  <sheetData>
    <row r="1" spans="1:108" s="58" customFormat="1" ht="70.5" customHeight="1">
      <c r="A1" s="5" t="s">
        <v>0</v>
      </c>
      <c r="B1" s="7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</row>
    <row r="2" spans="1:108" s="20" customFormat="1" ht="102.75" customHeight="1">
      <c r="A2" s="25" t="s">
        <v>13</v>
      </c>
      <c r="B2" s="110" t="s">
        <v>29</v>
      </c>
      <c r="C2" s="20" t="s">
        <v>30</v>
      </c>
      <c r="D2" s="20" t="s">
        <v>31</v>
      </c>
      <c r="E2" s="20">
        <v>1</v>
      </c>
      <c r="F2" s="20" t="s">
        <v>32</v>
      </c>
      <c r="G2" s="60">
        <v>950</v>
      </c>
      <c r="H2" s="20">
        <v>30</v>
      </c>
      <c r="I2" s="20" t="s">
        <v>17</v>
      </c>
      <c r="J2" s="20">
        <v>2</v>
      </c>
      <c r="K2" s="34">
        <v>45040</v>
      </c>
      <c r="M2" s="20" t="s">
        <v>33</v>
      </c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  <c r="CY2" s="71"/>
      <c r="CZ2" s="71"/>
      <c r="DA2" s="71"/>
      <c r="DB2" s="71"/>
      <c r="DC2" s="71"/>
      <c r="DD2" s="76"/>
    </row>
    <row r="3" spans="1:108" s="59" customFormat="1" ht="102.75" customHeight="1">
      <c r="A3" s="25" t="s">
        <v>13</v>
      </c>
      <c r="B3" s="56" t="s">
        <v>34</v>
      </c>
      <c r="C3" s="20" t="s">
        <v>35</v>
      </c>
      <c r="D3" s="20" t="s">
        <v>36</v>
      </c>
      <c r="E3" s="20">
        <v>1</v>
      </c>
      <c r="F3" s="20" t="s">
        <v>37</v>
      </c>
      <c r="G3" s="60">
        <v>1300</v>
      </c>
      <c r="H3" s="20">
        <v>30</v>
      </c>
      <c r="I3" s="20" t="s">
        <v>17</v>
      </c>
      <c r="J3" s="20">
        <v>2</v>
      </c>
      <c r="K3" s="34">
        <v>45019</v>
      </c>
      <c r="L3" s="20"/>
      <c r="M3" s="20" t="s">
        <v>33</v>
      </c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74"/>
      <c r="BY3" s="74"/>
      <c r="BZ3" s="74"/>
      <c r="CA3" s="74"/>
      <c r="CB3" s="74"/>
      <c r="CC3" s="74"/>
      <c r="CD3" s="74"/>
      <c r="CE3" s="74"/>
      <c r="CF3" s="74"/>
      <c r="CG3" s="74"/>
      <c r="CH3" s="74"/>
      <c r="CI3" s="74"/>
      <c r="CJ3" s="74"/>
      <c r="CK3" s="74"/>
      <c r="CL3" s="74"/>
      <c r="CM3" s="74"/>
      <c r="CN3" s="74"/>
      <c r="CO3" s="74"/>
      <c r="CP3" s="74"/>
      <c r="CQ3" s="74"/>
      <c r="CR3" s="74"/>
      <c r="CS3" s="74"/>
      <c r="CT3" s="74"/>
      <c r="CU3" s="74"/>
      <c r="CV3" s="74"/>
      <c r="CW3" s="74"/>
      <c r="CX3" s="74"/>
      <c r="CY3" s="74"/>
      <c r="CZ3" s="74"/>
      <c r="DA3" s="74"/>
      <c r="DB3" s="74"/>
      <c r="DC3" s="74"/>
      <c r="DD3" s="77"/>
    </row>
    <row r="4" spans="1:108" s="59" customFormat="1" ht="102.75" customHeight="1">
      <c r="A4" s="25" t="s">
        <v>13</v>
      </c>
      <c r="B4" s="110" t="s">
        <v>38</v>
      </c>
      <c r="C4" s="20" t="s">
        <v>39</v>
      </c>
      <c r="D4" s="20" t="s">
        <v>40</v>
      </c>
      <c r="E4" s="20">
        <v>1</v>
      </c>
      <c r="F4" s="20" t="s">
        <v>41</v>
      </c>
      <c r="G4" s="60">
        <v>950</v>
      </c>
      <c r="H4" s="20">
        <v>30</v>
      </c>
      <c r="I4" s="20" t="s">
        <v>17</v>
      </c>
      <c r="J4" s="20">
        <v>2</v>
      </c>
      <c r="K4" s="34">
        <v>45033</v>
      </c>
      <c r="L4" s="20"/>
      <c r="M4" s="20" t="s">
        <v>33</v>
      </c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BZ4" s="74"/>
      <c r="CA4" s="74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4"/>
      <c r="CM4" s="74"/>
      <c r="CN4" s="74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4"/>
      <c r="CZ4" s="74"/>
      <c r="DA4" s="74"/>
      <c r="DB4" s="74"/>
      <c r="DC4" s="74"/>
      <c r="DD4" s="77"/>
    </row>
    <row r="5" spans="1:108" s="59" customFormat="1" ht="102.75" customHeight="1">
      <c r="A5" s="25" t="s">
        <v>13</v>
      </c>
      <c r="B5" s="110" t="s">
        <v>42</v>
      </c>
      <c r="C5" s="20"/>
      <c r="D5" s="20" t="s">
        <v>43</v>
      </c>
      <c r="E5" s="20">
        <v>1</v>
      </c>
      <c r="F5" s="20" t="s">
        <v>44</v>
      </c>
      <c r="G5" s="60">
        <v>950</v>
      </c>
      <c r="H5" s="20">
        <v>30</v>
      </c>
      <c r="I5" s="20" t="s">
        <v>17</v>
      </c>
      <c r="J5" s="20">
        <v>2</v>
      </c>
      <c r="K5" s="34">
        <v>45036</v>
      </c>
      <c r="L5" s="20"/>
      <c r="M5" s="20" t="s">
        <v>33</v>
      </c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  <c r="BS5" s="74"/>
      <c r="BT5" s="74"/>
      <c r="BU5" s="74"/>
      <c r="BV5" s="74"/>
      <c r="BW5" s="74"/>
      <c r="BX5" s="74"/>
      <c r="BY5" s="74"/>
      <c r="BZ5" s="74"/>
      <c r="CA5" s="74"/>
      <c r="CB5" s="74"/>
      <c r="CC5" s="74"/>
      <c r="CD5" s="74"/>
      <c r="CE5" s="74"/>
      <c r="CF5" s="74"/>
      <c r="CG5" s="74"/>
      <c r="CH5" s="74"/>
      <c r="CI5" s="74"/>
      <c r="CJ5" s="74"/>
      <c r="CK5" s="74"/>
      <c r="CL5" s="74"/>
      <c r="CM5" s="74"/>
      <c r="CN5" s="74"/>
      <c r="CO5" s="74"/>
      <c r="CP5" s="74"/>
      <c r="CQ5" s="74"/>
      <c r="CR5" s="74"/>
      <c r="CS5" s="74"/>
      <c r="CT5" s="74"/>
      <c r="CU5" s="74"/>
      <c r="CV5" s="74"/>
      <c r="CW5" s="74"/>
      <c r="CX5" s="74"/>
      <c r="CY5" s="74"/>
      <c r="CZ5" s="74"/>
      <c r="DA5" s="74"/>
      <c r="DB5" s="74"/>
      <c r="DC5" s="74"/>
      <c r="DD5" s="77"/>
    </row>
    <row r="6" spans="1:108" s="59" customFormat="1" ht="102.75" customHeight="1">
      <c r="A6" s="111" t="s">
        <v>13</v>
      </c>
      <c r="B6" s="110" t="s">
        <v>45</v>
      </c>
      <c r="C6" s="20" t="s">
        <v>46</v>
      </c>
      <c r="D6" s="20" t="s">
        <v>47</v>
      </c>
      <c r="E6" s="20">
        <v>1</v>
      </c>
      <c r="F6" s="20" t="s">
        <v>48</v>
      </c>
      <c r="G6" s="60">
        <v>950</v>
      </c>
      <c r="H6" s="20">
        <v>30</v>
      </c>
      <c r="I6" s="20" t="s">
        <v>17</v>
      </c>
      <c r="J6" s="20">
        <v>2</v>
      </c>
      <c r="K6" s="34">
        <v>45040</v>
      </c>
      <c r="L6" s="20"/>
      <c r="M6" s="20" t="s">
        <v>33</v>
      </c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/>
      <c r="BR6" s="74"/>
      <c r="BS6" s="74"/>
      <c r="BT6" s="74"/>
      <c r="BU6" s="74"/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  <c r="DA6" s="74"/>
      <c r="DB6" s="74"/>
      <c r="DC6" s="74"/>
      <c r="DD6" s="77"/>
    </row>
    <row r="7" spans="1:108" s="59" customFormat="1" ht="115.5" customHeight="1">
      <c r="A7" s="25" t="s">
        <v>13</v>
      </c>
      <c r="B7" s="78" t="s">
        <v>49</v>
      </c>
      <c r="C7" s="20" t="s">
        <v>50</v>
      </c>
      <c r="D7" s="20" t="s">
        <v>51</v>
      </c>
      <c r="E7" s="20">
        <v>1</v>
      </c>
      <c r="F7" s="20" t="s">
        <v>52</v>
      </c>
      <c r="G7" s="60">
        <v>950</v>
      </c>
      <c r="H7" s="20">
        <v>28</v>
      </c>
      <c r="I7" s="20" t="s">
        <v>17</v>
      </c>
      <c r="J7" s="20">
        <v>2</v>
      </c>
      <c r="K7" s="34">
        <v>45028</v>
      </c>
      <c r="L7" s="20"/>
      <c r="M7" s="20" t="s">
        <v>53</v>
      </c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4"/>
      <c r="BS7" s="74"/>
      <c r="BT7" s="74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74"/>
      <c r="CU7" s="74"/>
      <c r="CV7" s="74"/>
      <c r="CW7" s="74"/>
      <c r="CX7" s="74"/>
      <c r="CY7" s="74"/>
      <c r="CZ7" s="74"/>
      <c r="DA7" s="74"/>
      <c r="DB7" s="74"/>
      <c r="DC7" s="74"/>
      <c r="DD7" s="77"/>
    </row>
    <row r="8" spans="1:108" s="59" customFormat="1" ht="115.5" customHeight="1">
      <c r="A8" s="25" t="s">
        <v>13</v>
      </c>
      <c r="B8" s="78" t="s">
        <v>54</v>
      </c>
      <c r="C8" s="20" t="s">
        <v>55</v>
      </c>
      <c r="D8" s="20" t="s">
        <v>56</v>
      </c>
      <c r="E8" s="20">
        <v>1</v>
      </c>
      <c r="F8" s="20" t="s">
        <v>57</v>
      </c>
      <c r="G8" s="60">
        <v>950</v>
      </c>
      <c r="H8" s="20">
        <v>28</v>
      </c>
      <c r="I8" s="20" t="s">
        <v>17</v>
      </c>
      <c r="J8" s="20">
        <v>2</v>
      </c>
      <c r="K8" s="34">
        <v>45021</v>
      </c>
      <c r="L8" s="20"/>
      <c r="M8" s="20" t="s">
        <v>53</v>
      </c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4"/>
      <c r="BS8" s="74"/>
      <c r="BT8" s="74"/>
      <c r="BU8" s="74"/>
      <c r="BV8" s="74"/>
      <c r="BW8" s="74"/>
      <c r="BX8" s="74"/>
      <c r="BY8" s="74"/>
      <c r="BZ8" s="74"/>
      <c r="CA8" s="74"/>
      <c r="CB8" s="74"/>
      <c r="CC8" s="74"/>
      <c r="CD8" s="74"/>
      <c r="CE8" s="74"/>
      <c r="CF8" s="74"/>
      <c r="CG8" s="74"/>
      <c r="CH8" s="74"/>
      <c r="CI8" s="74"/>
      <c r="CJ8" s="74"/>
      <c r="CK8" s="74"/>
      <c r="CL8" s="74"/>
      <c r="CM8" s="74"/>
      <c r="CN8" s="74"/>
      <c r="CO8" s="74"/>
      <c r="CP8" s="74"/>
      <c r="CQ8" s="74"/>
      <c r="CR8" s="74"/>
      <c r="CS8" s="74"/>
      <c r="CT8" s="74"/>
      <c r="CU8" s="74"/>
      <c r="CV8" s="74"/>
      <c r="CW8" s="74"/>
      <c r="CX8" s="74"/>
      <c r="CY8" s="74"/>
      <c r="CZ8" s="74"/>
      <c r="DA8" s="74"/>
      <c r="DB8" s="74"/>
      <c r="DC8" s="74"/>
      <c r="DD8" s="77"/>
    </row>
    <row r="9" spans="1:108" s="59" customFormat="1" ht="115.5" customHeight="1">
      <c r="A9" s="25" t="s">
        <v>13</v>
      </c>
      <c r="B9" s="78" t="s">
        <v>58</v>
      </c>
      <c r="C9" s="20" t="s">
        <v>59</v>
      </c>
      <c r="D9" s="20" t="s">
        <v>60</v>
      </c>
      <c r="E9" s="20">
        <v>1</v>
      </c>
      <c r="F9" s="20" t="s">
        <v>61</v>
      </c>
      <c r="G9" s="60">
        <v>950</v>
      </c>
      <c r="H9" s="20">
        <v>28</v>
      </c>
      <c r="I9" s="20" t="s">
        <v>17</v>
      </c>
      <c r="J9" s="20">
        <v>2</v>
      </c>
      <c r="K9" s="34">
        <v>45016</v>
      </c>
      <c r="L9" s="20"/>
      <c r="M9" s="20" t="s">
        <v>22</v>
      </c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C9" s="74"/>
      <c r="DD9" s="77"/>
    </row>
    <row r="10" spans="1:108" s="20" customFormat="1" ht="115.5" customHeight="1">
      <c r="A10" s="25" t="s">
        <v>13</v>
      </c>
      <c r="C10" s="20" t="s">
        <v>62</v>
      </c>
      <c r="D10" s="20" t="s">
        <v>63</v>
      </c>
      <c r="E10" s="20">
        <v>1</v>
      </c>
      <c r="F10" s="20" t="s">
        <v>64</v>
      </c>
      <c r="G10" s="60">
        <v>690</v>
      </c>
      <c r="H10" s="20">
        <v>4</v>
      </c>
      <c r="I10" s="20" t="s">
        <v>17</v>
      </c>
      <c r="J10" s="20">
        <v>2</v>
      </c>
      <c r="K10" s="34">
        <v>44999</v>
      </c>
      <c r="M10" s="20" t="s">
        <v>22</v>
      </c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6"/>
    </row>
    <row r="11" spans="1:108" s="20" customFormat="1" ht="115.5" customHeight="1">
      <c r="A11" s="25" t="s">
        <v>13</v>
      </c>
      <c r="C11" s="20" t="s">
        <v>62</v>
      </c>
      <c r="D11" s="20" t="s">
        <v>65</v>
      </c>
      <c r="E11" s="20">
        <v>4</v>
      </c>
      <c r="F11" s="20" t="s">
        <v>64</v>
      </c>
      <c r="G11" s="60">
        <v>2760</v>
      </c>
      <c r="H11" s="20">
        <v>30</v>
      </c>
      <c r="I11" s="20" t="s">
        <v>17</v>
      </c>
      <c r="J11" s="20">
        <v>2</v>
      </c>
      <c r="K11" s="34">
        <v>44959</v>
      </c>
      <c r="M11" s="20" t="s">
        <v>22</v>
      </c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  <c r="CT11" s="71"/>
      <c r="CU11" s="71"/>
      <c r="CV11" s="71"/>
      <c r="CW11" s="71"/>
      <c r="CX11" s="71"/>
      <c r="CY11" s="71"/>
      <c r="CZ11" s="71"/>
      <c r="DA11" s="71"/>
      <c r="DB11" s="71"/>
      <c r="DC11" s="71"/>
      <c r="DD11" s="76"/>
    </row>
    <row r="12" spans="1:108" s="20" customFormat="1" ht="115.5" customHeight="1">
      <c r="A12" s="25" t="s">
        <v>13</v>
      </c>
      <c r="B12" s="80" t="s">
        <v>66</v>
      </c>
      <c r="C12" s="20" t="s">
        <v>35</v>
      </c>
      <c r="D12" s="20" t="s">
        <v>67</v>
      </c>
      <c r="E12" s="20">
        <v>1</v>
      </c>
      <c r="F12" s="20" t="s">
        <v>25</v>
      </c>
      <c r="G12" s="60">
        <v>950</v>
      </c>
      <c r="H12" s="20">
        <v>4</v>
      </c>
      <c r="I12" s="20" t="s">
        <v>17</v>
      </c>
      <c r="J12" s="20">
        <v>2</v>
      </c>
      <c r="K12" s="34">
        <v>44568</v>
      </c>
      <c r="M12" s="20" t="s">
        <v>22</v>
      </c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/>
      <c r="CT12" s="71"/>
      <c r="CU12" s="71"/>
      <c r="CV12" s="71"/>
      <c r="CW12" s="71"/>
      <c r="CX12" s="71"/>
      <c r="CY12" s="71"/>
      <c r="CZ12" s="71"/>
      <c r="DA12" s="71"/>
      <c r="DB12" s="71"/>
      <c r="DC12" s="71"/>
      <c r="DD12" s="76"/>
    </row>
    <row r="13" spans="1:108" s="20" customFormat="1" ht="115.5" customHeight="1">
      <c r="A13" s="25" t="s">
        <v>13</v>
      </c>
      <c r="B13" s="80" t="s">
        <v>66</v>
      </c>
      <c r="C13" s="20" t="s">
        <v>68</v>
      </c>
      <c r="D13" s="20" t="s">
        <v>69</v>
      </c>
      <c r="E13" s="20">
        <v>1</v>
      </c>
      <c r="F13" s="20" t="s">
        <v>16</v>
      </c>
      <c r="G13" s="60">
        <v>950</v>
      </c>
      <c r="H13" s="20">
        <v>4</v>
      </c>
      <c r="I13" s="20" t="s">
        <v>17</v>
      </c>
      <c r="J13" s="20">
        <v>2</v>
      </c>
      <c r="K13" s="34"/>
      <c r="M13" s="20" t="s">
        <v>18</v>
      </c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6"/>
    </row>
    <row r="14" spans="1:108" s="20" customFormat="1" ht="115.5" customHeight="1">
      <c r="A14" s="25" t="s">
        <v>13</v>
      </c>
      <c r="B14" s="80" t="s">
        <v>66</v>
      </c>
      <c r="C14" s="20" t="s">
        <v>70</v>
      </c>
      <c r="D14" s="20" t="s">
        <v>71</v>
      </c>
      <c r="E14" s="20">
        <v>4</v>
      </c>
      <c r="F14" s="20" t="s">
        <v>72</v>
      </c>
      <c r="G14" s="60">
        <v>3800</v>
      </c>
      <c r="H14" s="20">
        <v>4</v>
      </c>
      <c r="I14" s="20" t="s">
        <v>17</v>
      </c>
      <c r="J14" s="20">
        <v>2</v>
      </c>
      <c r="K14" s="34"/>
      <c r="M14" s="20" t="s">
        <v>18</v>
      </c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1"/>
      <c r="DA14" s="71"/>
      <c r="DB14" s="71"/>
      <c r="DC14" s="71"/>
      <c r="DD14" s="76"/>
    </row>
    <row r="15" spans="1:108" s="20" customFormat="1" ht="96" customHeight="1">
      <c r="A15" s="20" t="s">
        <v>73</v>
      </c>
      <c r="C15" s="20" t="s">
        <v>74</v>
      </c>
      <c r="D15" s="34" t="s">
        <v>75</v>
      </c>
      <c r="E15" s="20">
        <v>1</v>
      </c>
      <c r="F15" s="20" t="s">
        <v>76</v>
      </c>
      <c r="G15" s="60">
        <v>600</v>
      </c>
      <c r="H15" s="20">
        <v>5</v>
      </c>
      <c r="I15" s="20" t="s">
        <v>77</v>
      </c>
      <c r="M15" s="20" t="s">
        <v>78</v>
      </c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  <c r="CP15" s="71"/>
      <c r="CQ15" s="71"/>
      <c r="CR15" s="71"/>
      <c r="CS15" s="71"/>
      <c r="CT15" s="71"/>
      <c r="CU15" s="71"/>
      <c r="CV15" s="71"/>
      <c r="CW15" s="71"/>
      <c r="CX15" s="71"/>
      <c r="CY15" s="71"/>
      <c r="CZ15" s="71"/>
      <c r="DA15" s="71"/>
      <c r="DB15" s="71"/>
      <c r="DC15" s="71"/>
      <c r="DD15" s="76"/>
    </row>
    <row r="16" spans="1:108" s="20" customFormat="1" ht="115.5" customHeight="1">
      <c r="A16" s="25" t="s">
        <v>13</v>
      </c>
      <c r="C16" s="20" t="s">
        <v>79</v>
      </c>
      <c r="D16" s="20" t="s">
        <v>65</v>
      </c>
      <c r="E16" s="20">
        <v>1</v>
      </c>
      <c r="F16" s="20" t="s">
        <v>21</v>
      </c>
      <c r="G16" s="60">
        <v>1300</v>
      </c>
      <c r="H16" s="20">
        <v>4</v>
      </c>
      <c r="I16" s="20" t="s">
        <v>17</v>
      </c>
      <c r="J16" s="20">
        <v>2</v>
      </c>
      <c r="K16" s="34"/>
      <c r="M16" s="20" t="s">
        <v>22</v>
      </c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  <c r="CQ16" s="71"/>
      <c r="CR16" s="71"/>
      <c r="CS16" s="71"/>
      <c r="CT16" s="71"/>
      <c r="CU16" s="71"/>
      <c r="CV16" s="71"/>
      <c r="CW16" s="71"/>
      <c r="CX16" s="71"/>
      <c r="CY16" s="71"/>
      <c r="CZ16" s="71"/>
      <c r="DA16" s="71"/>
      <c r="DB16" s="71"/>
      <c r="DC16" s="71"/>
      <c r="DD16" s="76"/>
    </row>
    <row r="17" spans="1:108" s="20" customFormat="1" ht="115.5" customHeight="1">
      <c r="A17" s="25" t="s">
        <v>13</v>
      </c>
      <c r="C17" s="20" t="s">
        <v>79</v>
      </c>
      <c r="D17" s="20" t="s">
        <v>71</v>
      </c>
      <c r="E17" s="20">
        <v>1</v>
      </c>
      <c r="F17" s="20" t="s">
        <v>21</v>
      </c>
      <c r="G17" s="60">
        <v>1300</v>
      </c>
      <c r="H17" s="20">
        <v>4</v>
      </c>
      <c r="I17" s="20" t="s">
        <v>17</v>
      </c>
      <c r="J17" s="20">
        <v>2</v>
      </c>
      <c r="K17" s="34"/>
      <c r="M17" s="20" t="s">
        <v>22</v>
      </c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1"/>
      <c r="CU17" s="71"/>
      <c r="CV17" s="71"/>
      <c r="CW17" s="71"/>
      <c r="CX17" s="71"/>
      <c r="CY17" s="71"/>
      <c r="CZ17" s="71"/>
      <c r="DA17" s="71"/>
      <c r="DB17" s="71"/>
      <c r="DC17" s="71"/>
      <c r="DD17" s="76"/>
    </row>
  </sheetData>
  <autoFilter ref="A1:DD17" xr:uid="{00000000-0009-0000-0000-000003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/>
  <dimension ref="A1:DD17"/>
  <sheetViews>
    <sheetView workbookViewId="0">
      <selection activeCell="C3" sqref="C3"/>
    </sheetView>
  </sheetViews>
  <sheetFormatPr defaultColWidth="9" defaultRowHeight="15"/>
  <cols>
    <col min="1" max="1" width="20" customWidth="1"/>
    <col min="2" max="2" width="14.5703125" customWidth="1"/>
    <col min="4" max="4" width="14.42578125" customWidth="1"/>
    <col min="6" max="6" width="21.5703125" customWidth="1"/>
    <col min="7" max="7" width="12.85546875" customWidth="1"/>
    <col min="11" max="11" width="13.140625" customWidth="1"/>
    <col min="13" max="13" width="58" customWidth="1"/>
  </cols>
  <sheetData>
    <row r="1" spans="1:108" s="58" customFormat="1" ht="70.5" customHeight="1">
      <c r="A1" s="5" t="s">
        <v>0</v>
      </c>
      <c r="B1" s="7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</row>
    <row r="2" spans="1:108" s="20" customFormat="1" ht="115.5" customHeight="1">
      <c r="A2" s="25" t="s">
        <v>13</v>
      </c>
      <c r="C2" s="20" t="s">
        <v>80</v>
      </c>
      <c r="D2" s="20" t="s">
        <v>81</v>
      </c>
      <c r="E2" s="20">
        <v>1</v>
      </c>
      <c r="F2" s="20" t="s">
        <v>21</v>
      </c>
      <c r="G2" s="60">
        <v>1300</v>
      </c>
      <c r="H2" s="20">
        <v>4</v>
      </c>
      <c r="I2" s="20" t="s">
        <v>17</v>
      </c>
      <c r="J2" s="20">
        <v>2</v>
      </c>
      <c r="K2" s="34"/>
      <c r="M2" s="20" t="s">
        <v>22</v>
      </c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  <c r="CY2" s="71"/>
      <c r="CZ2" s="71"/>
      <c r="DA2" s="71"/>
      <c r="DB2" s="71"/>
      <c r="DC2" s="71"/>
      <c r="DD2" s="76"/>
    </row>
    <row r="3" spans="1:108" s="20" customFormat="1" ht="115.5" customHeight="1">
      <c r="A3" s="25" t="s">
        <v>13</v>
      </c>
      <c r="C3" s="20" t="s">
        <v>82</v>
      </c>
      <c r="D3" s="20" t="s">
        <v>83</v>
      </c>
      <c r="E3" s="20">
        <v>1</v>
      </c>
      <c r="F3" s="20" t="s">
        <v>21</v>
      </c>
      <c r="G3" s="60">
        <v>1300</v>
      </c>
      <c r="H3" s="20">
        <v>4</v>
      </c>
      <c r="I3" s="20" t="s">
        <v>17</v>
      </c>
      <c r="J3" s="20">
        <v>2</v>
      </c>
      <c r="K3" s="34"/>
      <c r="M3" s="20" t="s">
        <v>22</v>
      </c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1"/>
      <c r="CZ3" s="71"/>
      <c r="DA3" s="71"/>
      <c r="DB3" s="71"/>
      <c r="DC3" s="71"/>
      <c r="DD3" s="76"/>
    </row>
    <row r="4" spans="1:108" s="20" customFormat="1" ht="96" customHeight="1">
      <c r="A4" s="20" t="s">
        <v>73</v>
      </c>
      <c r="C4" s="20" t="s">
        <v>84</v>
      </c>
      <c r="D4" s="34" t="s">
        <v>85</v>
      </c>
      <c r="E4" s="20">
        <v>1</v>
      </c>
      <c r="F4" s="20" t="s">
        <v>76</v>
      </c>
      <c r="G4" s="60">
        <v>600</v>
      </c>
      <c r="H4" s="20">
        <v>5</v>
      </c>
      <c r="I4" s="20" t="s">
        <v>77</v>
      </c>
      <c r="M4" s="20" t="s">
        <v>78</v>
      </c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71"/>
      <c r="CN4" s="71"/>
      <c r="CO4" s="71"/>
      <c r="CP4" s="71"/>
      <c r="CQ4" s="71"/>
      <c r="CR4" s="71"/>
      <c r="CS4" s="71"/>
      <c r="CT4" s="71"/>
      <c r="CU4" s="71"/>
      <c r="CV4" s="71"/>
      <c r="CW4" s="71"/>
      <c r="CX4" s="71"/>
      <c r="CY4" s="71"/>
      <c r="CZ4" s="71"/>
      <c r="DA4" s="71"/>
      <c r="DB4" s="71"/>
      <c r="DC4" s="71"/>
      <c r="DD4" s="76"/>
    </row>
    <row r="5" spans="1:108" s="20" customFormat="1" ht="115.5" customHeight="1">
      <c r="A5" s="25" t="s">
        <v>13</v>
      </c>
      <c r="B5" s="80" t="s">
        <v>66</v>
      </c>
      <c r="C5" s="20" t="s">
        <v>86</v>
      </c>
      <c r="D5" s="20" t="s">
        <v>87</v>
      </c>
      <c r="E5" s="20">
        <v>4</v>
      </c>
      <c r="F5" s="20" t="s">
        <v>72</v>
      </c>
      <c r="G5" s="60">
        <v>3800</v>
      </c>
      <c r="H5" s="20">
        <v>4</v>
      </c>
      <c r="I5" s="20" t="s">
        <v>17</v>
      </c>
      <c r="J5" s="20">
        <v>2</v>
      </c>
      <c r="K5" s="34"/>
      <c r="M5" s="20" t="s">
        <v>18</v>
      </c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6"/>
    </row>
    <row r="6" spans="1:108" s="20" customFormat="1" ht="115.5" customHeight="1">
      <c r="A6" s="25" t="s">
        <v>13</v>
      </c>
      <c r="B6" s="80" t="s">
        <v>66</v>
      </c>
      <c r="C6" s="20" t="s">
        <v>88</v>
      </c>
      <c r="D6" s="20" t="s">
        <v>89</v>
      </c>
      <c r="E6" s="20">
        <v>1</v>
      </c>
      <c r="F6" s="20" t="s">
        <v>16</v>
      </c>
      <c r="G6" s="60">
        <v>950</v>
      </c>
      <c r="H6" s="20">
        <v>4</v>
      </c>
      <c r="I6" s="20" t="s">
        <v>17</v>
      </c>
      <c r="J6" s="20">
        <v>2</v>
      </c>
      <c r="K6" s="34"/>
      <c r="M6" s="20" t="s">
        <v>18</v>
      </c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  <c r="CY6" s="71"/>
      <c r="CZ6" s="71"/>
      <c r="DA6" s="71"/>
      <c r="DB6" s="71"/>
      <c r="DC6" s="71"/>
      <c r="DD6" s="76"/>
    </row>
    <row r="7" spans="1:108" s="20" customFormat="1" ht="115.5" customHeight="1">
      <c r="A7" s="25" t="s">
        <v>13</v>
      </c>
      <c r="B7" s="80" t="s">
        <v>66</v>
      </c>
      <c r="C7" s="20" t="s">
        <v>90</v>
      </c>
      <c r="D7" s="20" t="s">
        <v>91</v>
      </c>
      <c r="E7" s="20">
        <v>1</v>
      </c>
      <c r="F7" s="20" t="s">
        <v>25</v>
      </c>
      <c r="G7" s="60">
        <v>950</v>
      </c>
      <c r="H7" s="20">
        <v>4</v>
      </c>
      <c r="I7" s="20" t="s">
        <v>17</v>
      </c>
      <c r="J7" s="20">
        <v>2</v>
      </c>
      <c r="K7" s="34">
        <v>44568</v>
      </c>
      <c r="M7" s="20" t="s">
        <v>22</v>
      </c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1"/>
      <c r="DA7" s="71"/>
      <c r="DB7" s="71"/>
      <c r="DC7" s="71"/>
      <c r="DD7" s="76"/>
    </row>
    <row r="8" spans="1:108" s="20" customFormat="1" ht="115.5" customHeight="1">
      <c r="A8" s="25" t="s">
        <v>13</v>
      </c>
      <c r="C8" s="20" t="s">
        <v>92</v>
      </c>
      <c r="D8" s="20" t="s">
        <v>81</v>
      </c>
      <c r="E8" s="20">
        <v>4</v>
      </c>
      <c r="F8" s="20" t="s">
        <v>64</v>
      </c>
      <c r="G8" s="60">
        <v>2760</v>
      </c>
      <c r="H8" s="20">
        <v>30</v>
      </c>
      <c r="I8" s="20" t="s">
        <v>17</v>
      </c>
      <c r="J8" s="20">
        <v>2</v>
      </c>
      <c r="K8" s="34">
        <v>44959</v>
      </c>
      <c r="M8" s="20" t="s">
        <v>22</v>
      </c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1"/>
      <c r="DA8" s="71"/>
      <c r="DB8" s="71"/>
      <c r="DC8" s="71"/>
      <c r="DD8" s="76"/>
    </row>
    <row r="9" spans="1:108" s="20" customFormat="1" ht="115.5" customHeight="1">
      <c r="A9" s="25" t="s">
        <v>13</v>
      </c>
      <c r="C9" s="20" t="s">
        <v>92</v>
      </c>
      <c r="D9" s="20" t="s">
        <v>93</v>
      </c>
      <c r="E9" s="20">
        <v>1</v>
      </c>
      <c r="F9" s="20" t="s">
        <v>64</v>
      </c>
      <c r="G9" s="60">
        <v>690</v>
      </c>
      <c r="H9" s="20">
        <v>4</v>
      </c>
      <c r="I9" s="20" t="s">
        <v>17</v>
      </c>
      <c r="J9" s="20">
        <v>2</v>
      </c>
      <c r="K9" s="34">
        <v>44999</v>
      </c>
      <c r="M9" s="20" t="s">
        <v>22</v>
      </c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71"/>
      <c r="DA9" s="71"/>
      <c r="DB9" s="71"/>
      <c r="DC9" s="71"/>
      <c r="DD9" s="76"/>
    </row>
    <row r="10" spans="1:108" s="59" customFormat="1" ht="102.75" customHeight="1">
      <c r="A10" s="25" t="s">
        <v>13</v>
      </c>
      <c r="B10" s="110" t="s">
        <v>45</v>
      </c>
      <c r="C10" s="20" t="s">
        <v>46</v>
      </c>
      <c r="D10" s="20" t="s">
        <v>94</v>
      </c>
      <c r="E10" s="20">
        <v>1</v>
      </c>
      <c r="F10" s="20" t="s">
        <v>48</v>
      </c>
      <c r="G10" s="60">
        <v>950</v>
      </c>
      <c r="H10" s="20">
        <v>30</v>
      </c>
      <c r="I10" s="20" t="s">
        <v>17</v>
      </c>
      <c r="J10" s="20">
        <v>2</v>
      </c>
      <c r="K10" s="34">
        <v>45040</v>
      </c>
      <c r="L10" s="20"/>
      <c r="M10" s="20" t="s">
        <v>33</v>
      </c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/>
      <c r="CT10" s="74"/>
      <c r="CU10" s="74"/>
      <c r="CV10" s="74"/>
      <c r="CW10" s="74"/>
      <c r="CX10" s="74"/>
      <c r="CY10" s="74"/>
      <c r="CZ10" s="74"/>
      <c r="DA10" s="74"/>
      <c r="DB10" s="74"/>
      <c r="DC10" s="74"/>
      <c r="DD10" s="77"/>
    </row>
    <row r="11" spans="1:108" s="20" customFormat="1" ht="115.5" customHeight="1">
      <c r="A11" s="25" t="s">
        <v>13</v>
      </c>
      <c r="B11" s="95" t="s">
        <v>95</v>
      </c>
      <c r="C11" s="20" t="s">
        <v>96</v>
      </c>
      <c r="D11" s="20" t="s">
        <v>97</v>
      </c>
      <c r="E11" s="20">
        <v>1</v>
      </c>
      <c r="F11" s="20" t="s">
        <v>98</v>
      </c>
      <c r="G11" s="60">
        <v>950</v>
      </c>
      <c r="H11" s="20">
        <v>19</v>
      </c>
      <c r="I11" s="20" t="s">
        <v>17</v>
      </c>
      <c r="J11" s="20">
        <v>2</v>
      </c>
      <c r="K11" s="34">
        <v>45076</v>
      </c>
      <c r="M11" s="20" t="s">
        <v>22</v>
      </c>
      <c r="N11" s="74"/>
      <c r="O11" s="74"/>
      <c r="P11" s="74"/>
      <c r="Q11" s="74"/>
      <c r="R11" s="74"/>
      <c r="S11" s="74"/>
      <c r="T11" s="74"/>
      <c r="U11" s="74"/>
      <c r="V11" s="74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  <c r="CT11" s="71"/>
      <c r="CU11" s="71"/>
      <c r="CV11" s="71"/>
      <c r="CW11" s="71"/>
      <c r="CX11" s="71"/>
      <c r="CY11" s="71"/>
      <c r="CZ11" s="71"/>
      <c r="DA11" s="71"/>
      <c r="DB11" s="71"/>
      <c r="DC11" s="71"/>
      <c r="DD11" s="76"/>
    </row>
    <row r="12" spans="1:108" s="20" customFormat="1" ht="115.5" customHeight="1">
      <c r="A12" s="25" t="s">
        <v>13</v>
      </c>
      <c r="B12" s="95" t="s">
        <v>99</v>
      </c>
      <c r="C12" s="20" t="s">
        <v>100</v>
      </c>
      <c r="D12" s="20" t="s">
        <v>101</v>
      </c>
      <c r="E12" s="20">
        <v>1</v>
      </c>
      <c r="F12" s="20" t="s">
        <v>102</v>
      </c>
      <c r="G12" s="60">
        <v>950</v>
      </c>
      <c r="H12" s="20">
        <v>19</v>
      </c>
      <c r="I12" s="20" t="s">
        <v>17</v>
      </c>
      <c r="J12" s="20">
        <v>2</v>
      </c>
      <c r="K12" s="34">
        <v>45068</v>
      </c>
      <c r="M12" s="20" t="s">
        <v>22</v>
      </c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/>
      <c r="CT12" s="71"/>
      <c r="CU12" s="71"/>
      <c r="CV12" s="71"/>
      <c r="CW12" s="71"/>
      <c r="CX12" s="71"/>
      <c r="CY12" s="71"/>
      <c r="CZ12" s="71"/>
      <c r="DA12" s="71"/>
      <c r="DB12" s="71"/>
      <c r="DC12" s="71"/>
      <c r="DD12" s="76"/>
    </row>
    <row r="13" spans="1:108" s="20" customFormat="1" ht="115.5" customHeight="1">
      <c r="A13" s="25" t="s">
        <v>13</v>
      </c>
      <c r="B13" s="95" t="s">
        <v>103</v>
      </c>
      <c r="C13" s="20" t="s">
        <v>104</v>
      </c>
      <c r="D13" s="20" t="s">
        <v>101</v>
      </c>
      <c r="E13" s="20">
        <v>1</v>
      </c>
      <c r="F13" s="20" t="s">
        <v>105</v>
      </c>
      <c r="G13" s="60">
        <v>1300</v>
      </c>
      <c r="H13" s="20">
        <v>19</v>
      </c>
      <c r="I13" s="20" t="s">
        <v>17</v>
      </c>
      <c r="J13" s="20">
        <v>2</v>
      </c>
      <c r="K13" s="34">
        <v>45068</v>
      </c>
      <c r="M13" s="20" t="s">
        <v>22</v>
      </c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6"/>
    </row>
    <row r="14" spans="1:108" s="20" customFormat="1" ht="115.5" customHeight="1">
      <c r="A14" s="25" t="s">
        <v>13</v>
      </c>
      <c r="B14" s="78" t="s">
        <v>106</v>
      </c>
      <c r="C14" s="20" t="s">
        <v>107</v>
      </c>
      <c r="D14" s="20" t="s">
        <v>108</v>
      </c>
      <c r="E14" s="20">
        <v>1</v>
      </c>
      <c r="F14" s="20" t="s">
        <v>109</v>
      </c>
      <c r="G14" s="60">
        <v>1300</v>
      </c>
      <c r="H14" s="20">
        <v>19</v>
      </c>
      <c r="I14" s="20" t="s">
        <v>17</v>
      </c>
      <c r="J14" s="20">
        <v>2</v>
      </c>
      <c r="K14" s="34">
        <v>45066</v>
      </c>
      <c r="M14" s="20" t="s">
        <v>22</v>
      </c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1"/>
      <c r="DA14" s="71"/>
      <c r="DB14" s="71"/>
      <c r="DC14" s="71"/>
      <c r="DD14" s="76"/>
    </row>
    <row r="15" spans="1:108" s="20" customFormat="1" ht="102.75" customHeight="1">
      <c r="A15" s="25" t="s">
        <v>13</v>
      </c>
      <c r="B15" s="110" t="s">
        <v>110</v>
      </c>
      <c r="C15" s="20" t="s">
        <v>111</v>
      </c>
      <c r="D15" s="20" t="s">
        <v>112</v>
      </c>
      <c r="E15" s="20">
        <v>1</v>
      </c>
      <c r="F15" s="20" t="s">
        <v>113</v>
      </c>
      <c r="G15" s="60">
        <v>1300</v>
      </c>
      <c r="H15" s="20">
        <v>30</v>
      </c>
      <c r="I15" s="20" t="s">
        <v>17</v>
      </c>
      <c r="J15" s="20">
        <v>2</v>
      </c>
      <c r="K15" s="34">
        <v>45064</v>
      </c>
      <c r="M15" s="20" t="s">
        <v>33</v>
      </c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  <c r="CP15" s="71"/>
      <c r="CQ15" s="71"/>
      <c r="CR15" s="71"/>
      <c r="CS15" s="71"/>
      <c r="CT15" s="71"/>
      <c r="CU15" s="71"/>
      <c r="CV15" s="71"/>
      <c r="CW15" s="71"/>
      <c r="CX15" s="71"/>
      <c r="CY15" s="71"/>
      <c r="CZ15" s="71"/>
      <c r="DA15" s="71"/>
      <c r="DB15" s="71"/>
      <c r="DC15" s="71"/>
      <c r="DD15" s="76"/>
    </row>
    <row r="16" spans="1:108" s="20" customFormat="1" ht="102.75" customHeight="1">
      <c r="A16" s="25" t="s">
        <v>13</v>
      </c>
      <c r="B16" s="110" t="s">
        <v>114</v>
      </c>
      <c r="C16" s="20" t="s">
        <v>115</v>
      </c>
      <c r="D16" s="20" t="s">
        <v>116</v>
      </c>
      <c r="E16" s="20">
        <v>1</v>
      </c>
      <c r="F16" s="20" t="s">
        <v>117</v>
      </c>
      <c r="G16" s="60">
        <v>950</v>
      </c>
      <c r="H16" s="20">
        <v>30</v>
      </c>
      <c r="I16" s="20" t="s">
        <v>17</v>
      </c>
      <c r="J16" s="20">
        <v>2</v>
      </c>
      <c r="K16" s="34">
        <v>45040</v>
      </c>
      <c r="M16" s="20" t="s">
        <v>33</v>
      </c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  <c r="CQ16" s="71"/>
      <c r="CR16" s="71"/>
      <c r="CS16" s="71"/>
      <c r="CT16" s="71"/>
      <c r="CU16" s="71"/>
      <c r="CV16" s="71"/>
      <c r="CW16" s="71"/>
      <c r="CX16" s="71"/>
      <c r="CY16" s="71"/>
      <c r="CZ16" s="71"/>
      <c r="DA16" s="71"/>
      <c r="DB16" s="71"/>
      <c r="DC16" s="71"/>
      <c r="DD16" s="76"/>
    </row>
    <row r="17" spans="1:108" s="20" customFormat="1" ht="102.75" customHeight="1">
      <c r="A17" s="25" t="s">
        <v>13</v>
      </c>
      <c r="B17" s="110" t="s">
        <v>118</v>
      </c>
      <c r="C17" s="20" t="s">
        <v>119</v>
      </c>
      <c r="D17" s="20" t="s">
        <v>120</v>
      </c>
      <c r="E17" s="20">
        <v>1</v>
      </c>
      <c r="F17" s="20" t="s">
        <v>121</v>
      </c>
      <c r="G17" s="60">
        <v>950</v>
      </c>
      <c r="H17" s="20">
        <v>30</v>
      </c>
      <c r="I17" s="20" t="s">
        <v>17</v>
      </c>
      <c r="J17" s="20">
        <v>2</v>
      </c>
      <c r="K17" s="34">
        <v>45040</v>
      </c>
      <c r="M17" s="20" t="s">
        <v>33</v>
      </c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1"/>
      <c r="CU17" s="71"/>
      <c r="CV17" s="71"/>
      <c r="CW17" s="71"/>
      <c r="CX17" s="71"/>
      <c r="CY17" s="71"/>
      <c r="CZ17" s="71"/>
      <c r="DA17" s="71"/>
      <c r="DB17" s="71"/>
      <c r="DC17" s="71"/>
      <c r="DD17" s="76"/>
    </row>
  </sheetData>
  <autoFilter ref="A1:DD17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/>
  <dimension ref="A1:DD21"/>
  <sheetViews>
    <sheetView workbookViewId="0">
      <selection activeCell="B3" sqref="B3"/>
    </sheetView>
  </sheetViews>
  <sheetFormatPr defaultColWidth="9" defaultRowHeight="15"/>
  <cols>
    <col min="1" max="1" width="17.140625" customWidth="1"/>
    <col min="2" max="2" width="16.28515625" customWidth="1"/>
    <col min="3" max="3" width="10.28515625" customWidth="1"/>
    <col min="4" max="4" width="21.42578125" customWidth="1"/>
    <col min="5" max="5" width="10.28515625" customWidth="1"/>
    <col min="6" max="6" width="21.42578125" customWidth="1"/>
    <col min="7" max="7" width="14.140625" customWidth="1"/>
    <col min="8" max="8" width="16.42578125" customWidth="1"/>
    <col min="9" max="9" width="13.85546875" customWidth="1"/>
    <col min="10" max="10" width="14.140625" customWidth="1"/>
    <col min="11" max="11" width="14" customWidth="1"/>
    <col min="12" max="12" width="16.28515625" customWidth="1"/>
    <col min="13" max="13" width="61.5703125" customWidth="1"/>
  </cols>
  <sheetData>
    <row r="1" spans="1:108" s="58" customFormat="1" ht="70.5" customHeight="1">
      <c r="A1" s="5" t="s">
        <v>0</v>
      </c>
      <c r="B1" s="7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</row>
    <row r="2" spans="1:108" s="59" customFormat="1" ht="115.5" customHeight="1">
      <c r="A2" s="25" t="s">
        <v>13</v>
      </c>
      <c r="B2" s="78" t="s">
        <v>122</v>
      </c>
      <c r="C2" s="20" t="s">
        <v>123</v>
      </c>
      <c r="D2" s="20" t="s">
        <v>124</v>
      </c>
      <c r="E2" s="20">
        <v>2</v>
      </c>
      <c r="F2" s="20" t="s">
        <v>125</v>
      </c>
      <c r="G2" s="60">
        <v>950</v>
      </c>
      <c r="H2" s="20">
        <v>16</v>
      </c>
      <c r="I2" s="20" t="s">
        <v>17</v>
      </c>
      <c r="J2" s="20">
        <v>2</v>
      </c>
      <c r="K2" s="34">
        <v>45099</v>
      </c>
      <c r="L2" s="20"/>
      <c r="M2" s="20" t="s">
        <v>22</v>
      </c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7"/>
    </row>
    <row r="3" spans="1:108" s="59" customFormat="1" ht="115.5" customHeight="1">
      <c r="A3" s="25" t="s">
        <v>13</v>
      </c>
      <c r="B3" s="54" t="s">
        <v>126</v>
      </c>
      <c r="C3" s="20" t="s">
        <v>127</v>
      </c>
      <c r="D3" s="20" t="s">
        <v>128</v>
      </c>
      <c r="E3" s="20">
        <v>2</v>
      </c>
      <c r="F3" s="20" t="s">
        <v>129</v>
      </c>
      <c r="G3" s="60">
        <v>950</v>
      </c>
      <c r="H3" s="20">
        <v>16</v>
      </c>
      <c r="I3" s="20" t="s">
        <v>17</v>
      </c>
      <c r="J3" s="20">
        <v>2</v>
      </c>
      <c r="K3" s="34">
        <v>45099</v>
      </c>
      <c r="L3" s="20"/>
      <c r="M3" s="20" t="s">
        <v>22</v>
      </c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74"/>
      <c r="BY3" s="74"/>
      <c r="BZ3" s="74"/>
      <c r="CA3" s="74"/>
      <c r="CB3" s="74"/>
      <c r="CC3" s="74"/>
      <c r="CD3" s="74"/>
      <c r="CE3" s="74"/>
      <c r="CF3" s="74"/>
      <c r="CG3" s="74"/>
      <c r="CH3" s="74"/>
      <c r="CI3" s="74"/>
      <c r="CJ3" s="74"/>
      <c r="CK3" s="74"/>
      <c r="CL3" s="74"/>
      <c r="CM3" s="74"/>
      <c r="CN3" s="74"/>
      <c r="CO3" s="74"/>
      <c r="CP3" s="74"/>
      <c r="CQ3" s="74"/>
      <c r="CR3" s="74"/>
      <c r="CS3" s="74"/>
      <c r="CT3" s="74"/>
      <c r="CU3" s="74"/>
      <c r="CV3" s="74"/>
      <c r="CW3" s="74"/>
      <c r="CX3" s="74"/>
      <c r="CY3" s="74"/>
      <c r="CZ3" s="74"/>
      <c r="DA3" s="74"/>
      <c r="DB3" s="74"/>
      <c r="DC3" s="74"/>
      <c r="DD3" s="77"/>
    </row>
    <row r="4" spans="1:108" s="59" customFormat="1" ht="115.5" customHeight="1">
      <c r="A4" s="25" t="s">
        <v>13</v>
      </c>
      <c r="B4" s="78" t="s">
        <v>130</v>
      </c>
      <c r="C4" s="20" t="s">
        <v>131</v>
      </c>
      <c r="D4" s="20" t="s">
        <v>132</v>
      </c>
      <c r="E4" s="20">
        <v>2</v>
      </c>
      <c r="F4" s="20" t="s">
        <v>133</v>
      </c>
      <c r="G4" s="60">
        <v>1900</v>
      </c>
      <c r="H4" s="20">
        <v>16</v>
      </c>
      <c r="I4" s="20" t="s">
        <v>17</v>
      </c>
      <c r="J4" s="20">
        <v>2</v>
      </c>
      <c r="K4" s="34">
        <v>45096</v>
      </c>
      <c r="L4" s="20"/>
      <c r="M4" s="20" t="s">
        <v>22</v>
      </c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BZ4" s="74"/>
      <c r="CA4" s="74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4"/>
      <c r="CM4" s="74"/>
      <c r="CN4" s="74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4"/>
      <c r="CZ4" s="74"/>
      <c r="DA4" s="74"/>
      <c r="DB4" s="74"/>
      <c r="DC4" s="74"/>
      <c r="DD4" s="77"/>
    </row>
    <row r="5" spans="1:108" s="59" customFormat="1" ht="115.5" customHeight="1">
      <c r="A5" s="25" t="s">
        <v>13</v>
      </c>
      <c r="B5" s="78" t="s">
        <v>134</v>
      </c>
      <c r="C5" s="20" t="s">
        <v>135</v>
      </c>
      <c r="D5" s="20" t="s">
        <v>136</v>
      </c>
      <c r="E5" s="20">
        <v>1</v>
      </c>
      <c r="F5" s="20" t="s">
        <v>137</v>
      </c>
      <c r="G5" s="60">
        <v>950</v>
      </c>
      <c r="H5" s="20">
        <v>4</v>
      </c>
      <c r="I5" s="20" t="s">
        <v>17</v>
      </c>
      <c r="J5" s="20">
        <v>2</v>
      </c>
      <c r="K5" s="34"/>
      <c r="L5" s="20"/>
      <c r="M5" s="20" t="s">
        <v>22</v>
      </c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  <c r="BS5" s="74"/>
      <c r="BT5" s="74"/>
      <c r="BU5" s="74"/>
      <c r="BV5" s="74"/>
      <c r="BW5" s="74"/>
      <c r="BX5" s="74"/>
      <c r="BY5" s="74"/>
      <c r="BZ5" s="74"/>
      <c r="CA5" s="74"/>
      <c r="CB5" s="74"/>
      <c r="CC5" s="74"/>
      <c r="CD5" s="74"/>
      <c r="CE5" s="74"/>
      <c r="CF5" s="74"/>
      <c r="CG5" s="74"/>
      <c r="CH5" s="74"/>
      <c r="CI5" s="74"/>
      <c r="CJ5" s="74"/>
      <c r="CK5" s="74"/>
      <c r="CL5" s="74"/>
      <c r="CM5" s="74"/>
      <c r="CN5" s="74"/>
      <c r="CO5" s="74"/>
      <c r="CP5" s="74"/>
      <c r="CQ5" s="74"/>
      <c r="CR5" s="74"/>
      <c r="CS5" s="74"/>
      <c r="CT5" s="74"/>
      <c r="CU5" s="74"/>
      <c r="CV5" s="74"/>
      <c r="CW5" s="74"/>
      <c r="CX5" s="74"/>
      <c r="CY5" s="74"/>
      <c r="CZ5" s="74"/>
      <c r="DA5" s="74"/>
      <c r="DB5" s="74"/>
      <c r="DC5" s="74"/>
      <c r="DD5" s="77"/>
    </row>
    <row r="6" spans="1:108" s="59" customFormat="1" ht="115.5" customHeight="1">
      <c r="A6" s="25" t="s">
        <v>13</v>
      </c>
      <c r="B6" s="78" t="s">
        <v>138</v>
      </c>
      <c r="C6" s="20" t="s">
        <v>139</v>
      </c>
      <c r="D6" s="20" t="s">
        <v>136</v>
      </c>
      <c r="E6" s="20">
        <v>1</v>
      </c>
      <c r="F6" s="20" t="s">
        <v>140</v>
      </c>
      <c r="G6" s="60">
        <v>950</v>
      </c>
      <c r="H6" s="20">
        <v>4</v>
      </c>
      <c r="I6" s="20" t="s">
        <v>17</v>
      </c>
      <c r="J6" s="20">
        <v>2</v>
      </c>
      <c r="K6" s="34"/>
      <c r="L6" s="20"/>
      <c r="M6" s="20" t="s">
        <v>22</v>
      </c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/>
      <c r="BR6" s="74"/>
      <c r="BS6" s="74"/>
      <c r="BT6" s="74"/>
      <c r="BU6" s="74"/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  <c r="DA6" s="74"/>
      <c r="DB6" s="74"/>
      <c r="DC6" s="74"/>
      <c r="DD6" s="77"/>
    </row>
    <row r="7" spans="1:108" s="20" customFormat="1" ht="115.5" customHeight="1">
      <c r="A7" s="25" t="s">
        <v>13</v>
      </c>
      <c r="C7" s="20" t="s">
        <v>141</v>
      </c>
      <c r="D7" s="20" t="s">
        <v>142</v>
      </c>
      <c r="E7" s="20">
        <v>1</v>
      </c>
      <c r="F7" s="20" t="s">
        <v>143</v>
      </c>
      <c r="G7" s="60">
        <v>1300</v>
      </c>
      <c r="H7" s="20">
        <v>4</v>
      </c>
      <c r="I7" s="20" t="s">
        <v>17</v>
      </c>
      <c r="J7" s="20">
        <v>2</v>
      </c>
      <c r="K7" s="34"/>
      <c r="M7" s="20" t="s">
        <v>22</v>
      </c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1"/>
      <c r="DA7" s="71"/>
      <c r="DB7" s="71"/>
      <c r="DC7" s="71"/>
      <c r="DD7" s="76"/>
    </row>
    <row r="8" spans="1:108" s="20" customFormat="1" ht="115.5" customHeight="1">
      <c r="A8" s="25" t="s">
        <v>13</v>
      </c>
      <c r="B8" s="95" t="s">
        <v>103</v>
      </c>
      <c r="C8" s="20" t="s">
        <v>144</v>
      </c>
      <c r="D8" s="20" t="s">
        <v>128</v>
      </c>
      <c r="E8" s="20">
        <v>1</v>
      </c>
      <c r="F8" s="20" t="s">
        <v>105</v>
      </c>
      <c r="G8" s="60">
        <v>1300</v>
      </c>
      <c r="H8" s="20">
        <v>19</v>
      </c>
      <c r="I8" s="20" t="s">
        <v>17</v>
      </c>
      <c r="J8" s="20">
        <v>2</v>
      </c>
      <c r="K8" s="34">
        <v>45068</v>
      </c>
      <c r="M8" s="20" t="s">
        <v>22</v>
      </c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1"/>
      <c r="DA8" s="71"/>
      <c r="DB8" s="71"/>
      <c r="DC8" s="71"/>
      <c r="DD8" s="76"/>
    </row>
    <row r="9" spans="1:108" s="20" customFormat="1" ht="115.5" customHeight="1">
      <c r="A9" s="25" t="s">
        <v>13</v>
      </c>
      <c r="C9" s="20" t="s">
        <v>141</v>
      </c>
      <c r="D9" s="20" t="s">
        <v>142</v>
      </c>
      <c r="E9" s="20">
        <v>1</v>
      </c>
      <c r="F9" s="20" t="s">
        <v>21</v>
      </c>
      <c r="G9" s="60">
        <v>1300</v>
      </c>
      <c r="H9" s="20">
        <v>4</v>
      </c>
      <c r="I9" s="20" t="s">
        <v>17</v>
      </c>
      <c r="J9" s="20">
        <v>2</v>
      </c>
      <c r="K9" s="34"/>
      <c r="M9" s="20" t="s">
        <v>22</v>
      </c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71"/>
      <c r="DA9" s="71"/>
      <c r="DB9" s="71"/>
      <c r="DC9" s="71"/>
      <c r="DD9" s="76"/>
    </row>
    <row r="10" spans="1:108" s="20" customFormat="1" ht="115.5" customHeight="1">
      <c r="A10" s="25" t="s">
        <v>13</v>
      </c>
      <c r="C10" s="20" t="s">
        <v>145</v>
      </c>
      <c r="D10" s="20" t="s">
        <v>146</v>
      </c>
      <c r="E10" s="20">
        <v>1</v>
      </c>
      <c r="F10" s="20" t="s">
        <v>21</v>
      </c>
      <c r="G10" s="60">
        <v>1300</v>
      </c>
      <c r="H10" s="20" t="s">
        <v>147</v>
      </c>
      <c r="I10" s="20" t="s">
        <v>17</v>
      </c>
      <c r="J10" s="20">
        <v>2</v>
      </c>
      <c r="K10" s="34"/>
      <c r="M10" s="20" t="s">
        <v>22</v>
      </c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6"/>
    </row>
    <row r="11" spans="1:108" s="20" customFormat="1" ht="96" customHeight="1">
      <c r="A11" s="20" t="s">
        <v>73</v>
      </c>
      <c r="C11" s="20" t="s">
        <v>148</v>
      </c>
      <c r="D11" s="34" t="s">
        <v>149</v>
      </c>
      <c r="E11" s="20">
        <v>1</v>
      </c>
      <c r="F11" s="20" t="s">
        <v>76</v>
      </c>
      <c r="G11" s="60">
        <v>600</v>
      </c>
      <c r="H11" s="20">
        <v>5</v>
      </c>
      <c r="I11" s="20" t="s">
        <v>77</v>
      </c>
      <c r="M11" s="20" t="s">
        <v>78</v>
      </c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  <c r="CT11" s="71"/>
      <c r="CU11" s="71"/>
      <c r="CV11" s="71"/>
      <c r="CW11" s="71"/>
      <c r="CX11" s="71"/>
      <c r="CY11" s="71"/>
      <c r="CZ11" s="71"/>
      <c r="DA11" s="71"/>
      <c r="DB11" s="71"/>
      <c r="DC11" s="71"/>
      <c r="DD11" s="76"/>
    </row>
    <row r="12" spans="1:108" s="20" customFormat="1" ht="115.5" customHeight="1">
      <c r="A12" s="25" t="s">
        <v>13</v>
      </c>
      <c r="B12" s="20" t="s">
        <v>66</v>
      </c>
      <c r="C12" s="20" t="s">
        <v>150</v>
      </c>
      <c r="D12" s="20" t="s">
        <v>87</v>
      </c>
      <c r="E12" s="20">
        <v>4</v>
      </c>
      <c r="F12" s="20" t="s">
        <v>72</v>
      </c>
      <c r="G12" s="60">
        <v>3800</v>
      </c>
      <c r="H12" s="20">
        <v>4</v>
      </c>
      <c r="I12" s="20" t="s">
        <v>17</v>
      </c>
      <c r="J12" s="20">
        <v>2</v>
      </c>
      <c r="K12" s="34"/>
      <c r="M12" s="20" t="s">
        <v>18</v>
      </c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/>
      <c r="CT12" s="71"/>
      <c r="CU12" s="71"/>
      <c r="CV12" s="71"/>
      <c r="CW12" s="71"/>
      <c r="CX12" s="71"/>
      <c r="CY12" s="71"/>
      <c r="CZ12" s="71"/>
      <c r="DA12" s="71"/>
      <c r="DB12" s="71"/>
      <c r="DC12" s="71"/>
      <c r="DD12" s="76"/>
    </row>
    <row r="13" spans="1:108" s="20" customFormat="1" ht="115.5" customHeight="1">
      <c r="A13" s="25" t="s">
        <v>13</v>
      </c>
      <c r="B13" s="20" t="s">
        <v>66</v>
      </c>
      <c r="C13" s="20" t="s">
        <v>151</v>
      </c>
      <c r="D13" s="20" t="s">
        <v>152</v>
      </c>
      <c r="E13" s="20">
        <v>1</v>
      </c>
      <c r="F13" s="20" t="s">
        <v>16</v>
      </c>
      <c r="G13" s="60">
        <v>950</v>
      </c>
      <c r="H13" s="20">
        <v>4</v>
      </c>
      <c r="I13" s="20" t="s">
        <v>17</v>
      </c>
      <c r="J13" s="20">
        <v>2</v>
      </c>
      <c r="K13" s="34"/>
      <c r="M13" s="20" t="s">
        <v>18</v>
      </c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6"/>
    </row>
    <row r="14" spans="1:108" s="20" customFormat="1" ht="115.5" customHeight="1">
      <c r="A14" s="25" t="s">
        <v>13</v>
      </c>
      <c r="B14" s="20" t="s">
        <v>66</v>
      </c>
      <c r="C14" s="20" t="s">
        <v>153</v>
      </c>
      <c r="D14" s="20" t="s">
        <v>154</v>
      </c>
      <c r="E14" s="20">
        <v>1</v>
      </c>
      <c r="F14" s="20" t="s">
        <v>25</v>
      </c>
      <c r="G14" s="60">
        <v>950</v>
      </c>
      <c r="H14" s="20">
        <v>4</v>
      </c>
      <c r="I14" s="20" t="s">
        <v>17</v>
      </c>
      <c r="J14" s="20">
        <v>2</v>
      </c>
      <c r="K14" s="34">
        <v>44568</v>
      </c>
      <c r="M14" s="20" t="s">
        <v>22</v>
      </c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1"/>
      <c r="DA14" s="71"/>
      <c r="DB14" s="71"/>
      <c r="DC14" s="71"/>
      <c r="DD14" s="76"/>
    </row>
    <row r="15" spans="1:108" s="20" customFormat="1" ht="115.5" customHeight="1">
      <c r="A15" s="25" t="s">
        <v>13</v>
      </c>
      <c r="B15" s="78" t="s">
        <v>130</v>
      </c>
      <c r="C15" s="20" t="s">
        <v>155</v>
      </c>
      <c r="D15" s="20" t="s">
        <v>142</v>
      </c>
      <c r="E15" s="20">
        <v>4</v>
      </c>
      <c r="F15" s="20" t="s">
        <v>64</v>
      </c>
      <c r="G15" s="60">
        <v>2760</v>
      </c>
      <c r="H15" s="20">
        <v>30</v>
      </c>
      <c r="I15" s="20" t="s">
        <v>17</v>
      </c>
      <c r="J15" s="20">
        <v>2</v>
      </c>
      <c r="K15" s="34">
        <v>44959</v>
      </c>
      <c r="M15" s="20" t="s">
        <v>22</v>
      </c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  <c r="CP15" s="71"/>
      <c r="CQ15" s="71"/>
      <c r="CR15" s="71"/>
      <c r="CS15" s="71"/>
      <c r="CT15" s="71"/>
      <c r="CU15" s="71"/>
      <c r="CV15" s="71"/>
      <c r="CW15" s="71"/>
      <c r="CX15" s="71"/>
      <c r="CY15" s="71"/>
      <c r="CZ15" s="71"/>
      <c r="DA15" s="71"/>
      <c r="DB15" s="71"/>
      <c r="DC15" s="71"/>
      <c r="DD15" s="76"/>
    </row>
    <row r="16" spans="1:108" s="20" customFormat="1" ht="115.5" customHeight="1">
      <c r="A16" s="25" t="s">
        <v>13</v>
      </c>
      <c r="B16" s="78" t="s">
        <v>130</v>
      </c>
      <c r="C16" s="20" t="s">
        <v>156</v>
      </c>
      <c r="D16" s="20" t="s">
        <v>136</v>
      </c>
      <c r="E16" s="20">
        <v>1</v>
      </c>
      <c r="F16" s="20" t="s">
        <v>64</v>
      </c>
      <c r="G16" s="60">
        <v>690</v>
      </c>
      <c r="H16" s="20">
        <v>4</v>
      </c>
      <c r="I16" s="20" t="s">
        <v>17</v>
      </c>
      <c r="J16" s="20">
        <v>2</v>
      </c>
      <c r="K16" s="34">
        <v>44999</v>
      </c>
      <c r="M16" s="20" t="s">
        <v>22</v>
      </c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  <c r="CQ16" s="71"/>
      <c r="CR16" s="71"/>
      <c r="CS16" s="71"/>
      <c r="CT16" s="71"/>
      <c r="CU16" s="71"/>
      <c r="CV16" s="71"/>
      <c r="CW16" s="71"/>
      <c r="CX16" s="71"/>
      <c r="CY16" s="71"/>
      <c r="CZ16" s="71"/>
      <c r="DA16" s="71"/>
      <c r="DB16" s="71"/>
      <c r="DC16" s="71"/>
      <c r="DD16" s="76"/>
    </row>
    <row r="17" spans="1:108" s="20" customFormat="1" ht="102.75" customHeight="1">
      <c r="A17" s="25" t="s">
        <v>13</v>
      </c>
      <c r="B17" s="79" t="s">
        <v>45</v>
      </c>
      <c r="C17" s="20" t="s">
        <v>157</v>
      </c>
      <c r="D17" s="20" t="s">
        <v>158</v>
      </c>
      <c r="E17" s="20">
        <v>1</v>
      </c>
      <c r="F17" s="20" t="s">
        <v>48</v>
      </c>
      <c r="G17" s="60">
        <v>950</v>
      </c>
      <c r="H17" s="20">
        <v>30</v>
      </c>
      <c r="I17" s="20" t="s">
        <v>17</v>
      </c>
      <c r="J17" s="20">
        <v>2</v>
      </c>
      <c r="K17" s="34">
        <v>45040</v>
      </c>
      <c r="M17" s="20" t="s">
        <v>33</v>
      </c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1"/>
      <c r="CU17" s="71"/>
      <c r="CV17" s="71"/>
      <c r="CW17" s="71"/>
      <c r="CX17" s="71"/>
      <c r="CY17" s="71"/>
      <c r="CZ17" s="71"/>
      <c r="DA17" s="71"/>
      <c r="DB17" s="71"/>
      <c r="DC17" s="71"/>
      <c r="DD17" s="76"/>
    </row>
    <row r="18" spans="1:108" s="20" customFormat="1" ht="115.5" customHeight="1">
      <c r="A18" s="25" t="s">
        <v>13</v>
      </c>
      <c r="B18" s="103" t="s">
        <v>159</v>
      </c>
      <c r="C18" s="20" t="s">
        <v>160</v>
      </c>
      <c r="D18" s="20" t="s">
        <v>128</v>
      </c>
      <c r="E18" s="20">
        <v>1</v>
      </c>
      <c r="F18" s="20" t="s">
        <v>102</v>
      </c>
      <c r="G18" s="60">
        <v>950</v>
      </c>
      <c r="H18" s="20">
        <v>19</v>
      </c>
      <c r="I18" s="20" t="s">
        <v>17</v>
      </c>
      <c r="J18" s="20">
        <v>2</v>
      </c>
      <c r="K18" s="34">
        <v>45068</v>
      </c>
      <c r="M18" s="20" t="s">
        <v>22</v>
      </c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71"/>
      <c r="CL18" s="71"/>
      <c r="CM18" s="71"/>
      <c r="CN18" s="71"/>
      <c r="CO18" s="71"/>
      <c r="CP18" s="71"/>
      <c r="CQ18" s="71"/>
      <c r="CR18" s="71"/>
      <c r="CS18" s="71"/>
      <c r="CT18" s="71"/>
      <c r="CU18" s="71"/>
      <c r="CV18" s="71"/>
      <c r="CW18" s="71"/>
      <c r="CX18" s="71"/>
      <c r="CY18" s="71"/>
      <c r="CZ18" s="71"/>
      <c r="DA18" s="71"/>
      <c r="DB18" s="71"/>
      <c r="DC18" s="71"/>
      <c r="DD18" s="76"/>
    </row>
    <row r="19" spans="1:108" s="20" customFormat="1" ht="102.75" customHeight="1">
      <c r="A19" s="25" t="s">
        <v>13</v>
      </c>
      <c r="B19" s="79" t="s">
        <v>110</v>
      </c>
      <c r="C19" s="20" t="s">
        <v>161</v>
      </c>
      <c r="D19" s="20" t="s">
        <v>162</v>
      </c>
      <c r="E19" s="20">
        <v>1</v>
      </c>
      <c r="F19" s="20" t="s">
        <v>113</v>
      </c>
      <c r="G19" s="60">
        <v>1300</v>
      </c>
      <c r="H19" s="20">
        <v>30</v>
      </c>
      <c r="I19" s="20" t="s">
        <v>17</v>
      </c>
      <c r="J19" s="20">
        <v>2</v>
      </c>
      <c r="K19" s="34">
        <v>45064</v>
      </c>
      <c r="M19" s="20" t="s">
        <v>33</v>
      </c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1"/>
      <c r="DA19" s="71"/>
      <c r="DB19" s="71"/>
      <c r="DC19" s="71"/>
      <c r="DD19" s="76"/>
    </row>
    <row r="20" spans="1:108" s="102" customFormat="1" ht="102.75" customHeight="1">
      <c r="A20" s="104" t="s">
        <v>13</v>
      </c>
      <c r="B20" s="105" t="s">
        <v>114</v>
      </c>
      <c r="C20" s="102" t="s">
        <v>163</v>
      </c>
      <c r="D20" s="102" t="s">
        <v>164</v>
      </c>
      <c r="E20" s="102">
        <v>1</v>
      </c>
      <c r="F20" s="102" t="s">
        <v>117</v>
      </c>
      <c r="G20" s="106">
        <v>950</v>
      </c>
      <c r="H20" s="102">
        <v>30</v>
      </c>
      <c r="I20" s="102" t="s">
        <v>17</v>
      </c>
      <c r="J20" s="102">
        <v>2</v>
      </c>
      <c r="K20" s="108">
        <v>45040</v>
      </c>
      <c r="M20" s="102" t="s">
        <v>33</v>
      </c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/>
      <c r="CK20" s="71"/>
      <c r="CL20" s="71"/>
      <c r="CM20" s="71"/>
      <c r="CN20" s="71"/>
      <c r="CO20" s="71"/>
      <c r="CP20" s="71"/>
      <c r="CQ20" s="71"/>
      <c r="CR20" s="71"/>
      <c r="CS20" s="71"/>
      <c r="CT20" s="71"/>
      <c r="CU20" s="71"/>
      <c r="CV20" s="71"/>
      <c r="CW20" s="71"/>
      <c r="CX20" s="71"/>
      <c r="CY20" s="71"/>
      <c r="CZ20" s="71"/>
      <c r="DA20" s="71"/>
      <c r="DB20" s="71"/>
      <c r="DC20" s="71"/>
      <c r="DD20" s="109"/>
    </row>
    <row r="21" spans="1:108" s="98" customFormat="1" ht="46.5" customHeight="1">
      <c r="A21" s="107" t="s">
        <v>165</v>
      </c>
      <c r="G21" s="99">
        <f>SUM(G2:G20)</f>
        <v>24800</v>
      </c>
    </row>
  </sheetData>
  <autoFilter ref="A1:DD2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7"/>
  <dimension ref="A1:DD25"/>
  <sheetViews>
    <sheetView workbookViewId="0">
      <selection activeCell="H3" sqref="H3"/>
    </sheetView>
  </sheetViews>
  <sheetFormatPr defaultColWidth="9" defaultRowHeight="15"/>
  <cols>
    <col min="1" max="1" width="17.140625" customWidth="1"/>
    <col min="2" max="2" width="16.28515625" customWidth="1"/>
    <col min="3" max="3" width="10.28515625" customWidth="1"/>
    <col min="4" max="4" width="21.42578125" customWidth="1"/>
    <col min="5" max="5" width="10.28515625" customWidth="1"/>
    <col min="6" max="6" width="21.42578125" customWidth="1"/>
    <col min="7" max="7" width="14.140625" customWidth="1"/>
    <col min="8" max="8" width="16.42578125" customWidth="1"/>
    <col min="9" max="9" width="13.85546875" customWidth="1"/>
    <col min="10" max="10" width="14.140625" customWidth="1"/>
    <col min="11" max="11" width="14" customWidth="1"/>
    <col min="12" max="12" width="16.28515625" customWidth="1"/>
    <col min="13" max="13" width="61.5703125" customWidth="1"/>
  </cols>
  <sheetData>
    <row r="1" spans="1:108" s="58" customFormat="1" ht="70.5" customHeight="1">
      <c r="A1" s="5" t="s">
        <v>0</v>
      </c>
      <c r="B1" s="7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</row>
    <row r="2" spans="1:108" s="97" customFormat="1" ht="115.5" customHeight="1">
      <c r="A2" s="25" t="s">
        <v>13</v>
      </c>
      <c r="B2" s="78" t="s">
        <v>166</v>
      </c>
      <c r="C2" s="20" t="s">
        <v>167</v>
      </c>
      <c r="D2" s="20"/>
      <c r="E2" s="20">
        <v>1</v>
      </c>
      <c r="F2" s="20" t="s">
        <v>168</v>
      </c>
      <c r="G2" s="60">
        <v>950</v>
      </c>
      <c r="H2" s="20">
        <v>16</v>
      </c>
      <c r="I2" s="20" t="s">
        <v>17</v>
      </c>
      <c r="J2" s="20">
        <v>2</v>
      </c>
      <c r="K2" s="34"/>
      <c r="L2" s="20"/>
      <c r="M2" s="20" t="s">
        <v>22</v>
      </c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0"/>
      <c r="BG2" s="100"/>
      <c r="BH2" s="100"/>
      <c r="BI2" s="100"/>
      <c r="BJ2" s="100"/>
      <c r="BK2" s="100"/>
      <c r="BL2" s="100"/>
      <c r="BM2" s="100"/>
      <c r="BN2" s="100"/>
      <c r="BO2" s="100"/>
      <c r="BP2" s="100"/>
      <c r="BQ2" s="100"/>
      <c r="BR2" s="100"/>
      <c r="BS2" s="100"/>
      <c r="BT2" s="100"/>
      <c r="BU2" s="100"/>
      <c r="BV2" s="100"/>
      <c r="BW2" s="100"/>
      <c r="BX2" s="100"/>
      <c r="BY2" s="100"/>
      <c r="BZ2" s="100"/>
      <c r="CA2" s="100"/>
      <c r="CB2" s="100"/>
      <c r="CC2" s="100"/>
      <c r="CD2" s="100"/>
      <c r="CE2" s="100"/>
      <c r="CF2" s="100"/>
      <c r="CG2" s="100"/>
      <c r="CH2" s="100"/>
      <c r="CI2" s="100"/>
      <c r="CJ2" s="100"/>
      <c r="CK2" s="100"/>
      <c r="CL2" s="100"/>
      <c r="CM2" s="100"/>
      <c r="CN2" s="100"/>
      <c r="CO2" s="100"/>
      <c r="CP2" s="100"/>
      <c r="CQ2" s="100"/>
      <c r="CR2" s="100"/>
      <c r="CS2" s="100"/>
      <c r="CT2" s="100"/>
      <c r="CU2" s="100"/>
      <c r="CV2" s="100"/>
      <c r="CW2" s="100"/>
      <c r="CX2" s="100"/>
      <c r="CY2" s="100"/>
      <c r="CZ2" s="100"/>
      <c r="DA2" s="100"/>
      <c r="DB2" s="100"/>
      <c r="DC2" s="100"/>
      <c r="DD2" s="101"/>
    </row>
    <row r="3" spans="1:108" s="20" customFormat="1" ht="115.5" customHeight="1">
      <c r="A3" s="25" t="s">
        <v>13</v>
      </c>
      <c r="C3" s="20" t="s">
        <v>169</v>
      </c>
      <c r="D3" s="20" t="s">
        <v>170</v>
      </c>
      <c r="E3" s="20">
        <v>1</v>
      </c>
      <c r="F3" s="20" t="s">
        <v>171</v>
      </c>
      <c r="G3" s="60">
        <v>1300</v>
      </c>
      <c r="H3" s="20">
        <v>16</v>
      </c>
      <c r="I3" s="20" t="s">
        <v>17</v>
      </c>
      <c r="J3" s="20">
        <v>2</v>
      </c>
      <c r="K3" s="34">
        <v>45134</v>
      </c>
      <c r="M3" s="20" t="s">
        <v>172</v>
      </c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1"/>
      <c r="CZ3" s="71"/>
      <c r="DA3" s="71"/>
      <c r="DB3" s="71"/>
      <c r="DC3" s="71"/>
      <c r="DD3" s="76"/>
    </row>
    <row r="4" spans="1:108" s="20" customFormat="1" ht="115.5" customHeight="1">
      <c r="A4" s="25" t="s">
        <v>13</v>
      </c>
      <c r="C4" s="20" t="s">
        <v>173</v>
      </c>
      <c r="D4" s="20" t="s">
        <v>174</v>
      </c>
      <c r="E4" s="20">
        <v>1</v>
      </c>
      <c r="F4" s="20" t="s">
        <v>175</v>
      </c>
      <c r="G4" s="60">
        <v>950</v>
      </c>
      <c r="H4" s="20">
        <v>16</v>
      </c>
      <c r="I4" s="20" t="s">
        <v>17</v>
      </c>
      <c r="J4" s="20">
        <v>2</v>
      </c>
      <c r="K4" s="34">
        <v>45134</v>
      </c>
      <c r="M4" s="20" t="s">
        <v>22</v>
      </c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71"/>
      <c r="CN4" s="71"/>
      <c r="CO4" s="71"/>
      <c r="CP4" s="71"/>
      <c r="CQ4" s="71"/>
      <c r="CR4" s="71"/>
      <c r="CS4" s="71"/>
      <c r="CT4" s="71"/>
      <c r="CU4" s="71"/>
      <c r="CV4" s="71"/>
      <c r="CW4" s="71"/>
      <c r="CX4" s="71"/>
      <c r="CY4" s="71"/>
      <c r="CZ4" s="71"/>
      <c r="DA4" s="71"/>
      <c r="DB4" s="71"/>
      <c r="DC4" s="71"/>
      <c r="DD4" s="76"/>
    </row>
    <row r="5" spans="1:108" s="20" customFormat="1" ht="115.5" customHeight="1">
      <c r="A5" s="25" t="s">
        <v>13</v>
      </c>
      <c r="C5" s="20" t="s">
        <v>176</v>
      </c>
      <c r="D5" s="20" t="s">
        <v>177</v>
      </c>
      <c r="E5" s="20">
        <v>1</v>
      </c>
      <c r="F5" s="20" t="s">
        <v>178</v>
      </c>
      <c r="G5" s="60">
        <v>950</v>
      </c>
      <c r="H5" s="20">
        <v>16</v>
      </c>
      <c r="I5" s="20" t="s">
        <v>17</v>
      </c>
      <c r="J5" s="20">
        <v>2</v>
      </c>
      <c r="K5" s="34">
        <v>45131</v>
      </c>
      <c r="M5" s="20" t="s">
        <v>22</v>
      </c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6"/>
    </row>
    <row r="6" spans="1:108" s="20" customFormat="1" ht="115.5" customHeight="1">
      <c r="A6" s="25" t="s">
        <v>13</v>
      </c>
      <c r="C6" s="20" t="s">
        <v>179</v>
      </c>
      <c r="D6" s="20" t="s">
        <v>177</v>
      </c>
      <c r="E6" s="20">
        <v>1</v>
      </c>
      <c r="F6" s="20" t="s">
        <v>180</v>
      </c>
      <c r="G6" s="60">
        <v>950</v>
      </c>
      <c r="H6" s="20">
        <v>16</v>
      </c>
      <c r="I6" s="20" t="s">
        <v>17</v>
      </c>
      <c r="J6" s="20">
        <v>2</v>
      </c>
      <c r="K6" s="34">
        <v>45131</v>
      </c>
      <c r="M6" s="20" t="s">
        <v>22</v>
      </c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  <c r="CY6" s="71"/>
      <c r="CZ6" s="71"/>
      <c r="DA6" s="71"/>
      <c r="DB6" s="71"/>
      <c r="DC6" s="71"/>
      <c r="DD6" s="76"/>
    </row>
    <row r="7" spans="1:108" s="97" customFormat="1" ht="115.5" customHeight="1">
      <c r="A7" s="25" t="s">
        <v>13</v>
      </c>
      <c r="B7" s="78" t="s">
        <v>181</v>
      </c>
      <c r="C7" s="20" t="s">
        <v>182</v>
      </c>
      <c r="D7" s="20" t="s">
        <v>183</v>
      </c>
      <c r="E7" s="20">
        <v>1</v>
      </c>
      <c r="F7" s="20" t="s">
        <v>184</v>
      </c>
      <c r="G7" s="60">
        <v>950</v>
      </c>
      <c r="H7" s="20">
        <v>16</v>
      </c>
      <c r="I7" s="20" t="s">
        <v>17</v>
      </c>
      <c r="J7" s="20">
        <v>2</v>
      </c>
      <c r="K7" s="34">
        <v>45118</v>
      </c>
      <c r="L7" s="20"/>
      <c r="M7" s="20" t="s">
        <v>22</v>
      </c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J7" s="100"/>
      <c r="BK7" s="100"/>
      <c r="BL7" s="100"/>
      <c r="BM7" s="100"/>
      <c r="BN7" s="100"/>
      <c r="BO7" s="100"/>
      <c r="BP7" s="100"/>
      <c r="BQ7" s="100"/>
      <c r="BR7" s="100"/>
      <c r="BS7" s="100"/>
      <c r="BT7" s="100"/>
      <c r="BU7" s="100"/>
      <c r="BV7" s="100"/>
      <c r="BW7" s="100"/>
      <c r="BX7" s="100"/>
      <c r="BY7" s="100"/>
      <c r="BZ7" s="100"/>
      <c r="CA7" s="100"/>
      <c r="CB7" s="100"/>
      <c r="CC7" s="100"/>
      <c r="CD7" s="100"/>
      <c r="CE7" s="100"/>
      <c r="CF7" s="100"/>
      <c r="CG7" s="100"/>
      <c r="CH7" s="100"/>
      <c r="CI7" s="100"/>
      <c r="CJ7" s="100"/>
      <c r="CK7" s="100"/>
      <c r="CL7" s="100"/>
      <c r="CM7" s="100"/>
      <c r="CN7" s="100"/>
      <c r="CO7" s="100"/>
      <c r="CP7" s="100"/>
      <c r="CQ7" s="100"/>
      <c r="CR7" s="100"/>
      <c r="CS7" s="100"/>
      <c r="CT7" s="100"/>
      <c r="CU7" s="100"/>
      <c r="CV7" s="100"/>
      <c r="CW7" s="100"/>
      <c r="CX7" s="100"/>
      <c r="CY7" s="100"/>
      <c r="CZ7" s="100"/>
      <c r="DA7" s="100"/>
      <c r="DB7" s="100"/>
      <c r="DC7" s="100"/>
      <c r="DD7" s="101"/>
    </row>
    <row r="8" spans="1:108" s="20" customFormat="1" ht="115.5" customHeight="1">
      <c r="A8" s="25" t="s">
        <v>13</v>
      </c>
      <c r="C8" s="20" t="s">
        <v>185</v>
      </c>
      <c r="D8" s="20" t="s">
        <v>186</v>
      </c>
      <c r="E8" s="20">
        <v>2</v>
      </c>
      <c r="F8" s="20" t="s">
        <v>133</v>
      </c>
      <c r="G8" s="60">
        <v>1900</v>
      </c>
      <c r="H8" s="20">
        <v>16</v>
      </c>
      <c r="I8" s="20" t="s">
        <v>17</v>
      </c>
      <c r="J8" s="20">
        <v>2</v>
      </c>
      <c r="K8" s="34">
        <v>45118</v>
      </c>
      <c r="M8" s="20" t="s">
        <v>22</v>
      </c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1"/>
      <c r="DA8" s="71"/>
      <c r="DB8" s="71"/>
      <c r="DC8" s="71"/>
      <c r="DD8" s="76"/>
    </row>
    <row r="9" spans="1:108" s="59" customFormat="1" ht="115.5" customHeight="1">
      <c r="A9" s="25" t="s">
        <v>13</v>
      </c>
      <c r="B9" s="78" t="s">
        <v>187</v>
      </c>
      <c r="C9" s="20" t="s">
        <v>188</v>
      </c>
      <c r="D9" s="20" t="s">
        <v>189</v>
      </c>
      <c r="E9" s="20">
        <v>2</v>
      </c>
      <c r="F9" s="20" t="s">
        <v>129</v>
      </c>
      <c r="G9" s="60">
        <v>950</v>
      </c>
      <c r="H9" s="20">
        <v>16</v>
      </c>
      <c r="I9" s="20" t="s">
        <v>17</v>
      </c>
      <c r="J9" s="20">
        <v>2</v>
      </c>
      <c r="K9" s="34">
        <v>45099</v>
      </c>
      <c r="L9" s="20"/>
      <c r="M9" s="20" t="s">
        <v>22</v>
      </c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C9" s="74"/>
      <c r="DD9" s="77"/>
    </row>
    <row r="10" spans="1:108" s="59" customFormat="1" ht="115.5" customHeight="1">
      <c r="A10" s="25" t="s">
        <v>13</v>
      </c>
      <c r="B10" s="78" t="s">
        <v>130</v>
      </c>
      <c r="C10" s="20" t="s">
        <v>190</v>
      </c>
      <c r="D10" s="20" t="s">
        <v>191</v>
      </c>
      <c r="E10" s="20">
        <v>2</v>
      </c>
      <c r="F10" s="20" t="s">
        <v>133</v>
      </c>
      <c r="G10" s="60">
        <v>1900</v>
      </c>
      <c r="H10" s="20">
        <v>16</v>
      </c>
      <c r="I10" s="20" t="s">
        <v>17</v>
      </c>
      <c r="J10" s="20">
        <v>2</v>
      </c>
      <c r="K10" s="34">
        <v>45096</v>
      </c>
      <c r="L10" s="20"/>
      <c r="M10" s="20" t="s">
        <v>22</v>
      </c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/>
      <c r="CT10" s="74"/>
      <c r="CU10" s="74"/>
      <c r="CV10" s="74"/>
      <c r="CW10" s="74"/>
      <c r="CX10" s="74"/>
      <c r="CY10" s="74"/>
      <c r="CZ10" s="74"/>
      <c r="DA10" s="74"/>
      <c r="DB10" s="74"/>
      <c r="DC10" s="74"/>
      <c r="DD10" s="77"/>
    </row>
    <row r="11" spans="1:108" s="59" customFormat="1" ht="115.5" customHeight="1">
      <c r="A11" s="25" t="s">
        <v>13</v>
      </c>
      <c r="B11" s="78" t="s">
        <v>138</v>
      </c>
      <c r="C11" s="20" t="s">
        <v>192</v>
      </c>
      <c r="D11" s="20" t="s">
        <v>193</v>
      </c>
      <c r="E11" s="20">
        <v>1</v>
      </c>
      <c r="F11" s="20" t="s">
        <v>140</v>
      </c>
      <c r="G11" s="60">
        <v>950</v>
      </c>
      <c r="H11" s="20">
        <v>4</v>
      </c>
      <c r="I11" s="20" t="s">
        <v>17</v>
      </c>
      <c r="J11" s="20">
        <v>2</v>
      </c>
      <c r="K11" s="34"/>
      <c r="L11" s="20"/>
      <c r="M11" s="20" t="s">
        <v>22</v>
      </c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 s="74"/>
      <c r="CI11" s="74"/>
      <c r="CJ11" s="74"/>
      <c r="CK11" s="74"/>
      <c r="CL11" s="74"/>
      <c r="CM11" s="74"/>
      <c r="CN11" s="74"/>
      <c r="CO11" s="74"/>
      <c r="CP11" s="74"/>
      <c r="CQ11" s="74"/>
      <c r="CR11" s="74"/>
      <c r="CS11" s="74"/>
      <c r="CT11" s="74"/>
      <c r="CU11" s="74"/>
      <c r="CV11" s="74"/>
      <c r="CW11" s="74"/>
      <c r="CX11" s="74"/>
      <c r="CY11" s="74"/>
      <c r="CZ11" s="74"/>
      <c r="DA11" s="74"/>
      <c r="DB11" s="74"/>
      <c r="DC11" s="74"/>
      <c r="DD11" s="77"/>
    </row>
    <row r="12" spans="1:108" s="20" customFormat="1" ht="115.5" customHeight="1">
      <c r="A12" s="25" t="s">
        <v>13</v>
      </c>
      <c r="C12" s="20" t="s">
        <v>194</v>
      </c>
      <c r="D12" s="20" t="s">
        <v>195</v>
      </c>
      <c r="E12" s="20">
        <v>1</v>
      </c>
      <c r="F12" s="20" t="s">
        <v>143</v>
      </c>
      <c r="G12" s="60">
        <v>1300</v>
      </c>
      <c r="H12" s="20">
        <v>4</v>
      </c>
      <c r="I12" s="20" t="s">
        <v>17</v>
      </c>
      <c r="J12" s="20">
        <v>2</v>
      </c>
      <c r="K12" s="34"/>
      <c r="M12" s="20" t="s">
        <v>22</v>
      </c>
      <c r="N12" s="74"/>
      <c r="O12" s="74"/>
      <c r="P12" s="74"/>
      <c r="Q12" s="74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/>
      <c r="CT12" s="71"/>
      <c r="CU12" s="71"/>
      <c r="CV12" s="71"/>
      <c r="CW12" s="71"/>
      <c r="CX12" s="71"/>
      <c r="CY12" s="71"/>
      <c r="CZ12" s="71"/>
      <c r="DA12" s="71"/>
      <c r="DB12" s="71"/>
      <c r="DC12" s="71"/>
      <c r="DD12" s="76"/>
    </row>
    <row r="13" spans="1:108" s="20" customFormat="1" ht="115.5" customHeight="1">
      <c r="A13" s="25" t="s">
        <v>13</v>
      </c>
      <c r="B13" s="95" t="s">
        <v>103</v>
      </c>
      <c r="C13" s="20" t="s">
        <v>194</v>
      </c>
      <c r="D13" s="20" t="s">
        <v>189</v>
      </c>
      <c r="E13" s="20">
        <v>1</v>
      </c>
      <c r="F13" s="20" t="s">
        <v>105</v>
      </c>
      <c r="G13" s="60">
        <v>1300</v>
      </c>
      <c r="H13" s="20">
        <v>19</v>
      </c>
      <c r="I13" s="20" t="s">
        <v>17</v>
      </c>
      <c r="J13" s="20">
        <v>2</v>
      </c>
      <c r="K13" s="34">
        <v>45068</v>
      </c>
      <c r="M13" s="20" t="s">
        <v>22</v>
      </c>
      <c r="N13" s="74"/>
      <c r="O13" s="74"/>
      <c r="P13" s="74"/>
      <c r="Q13" s="74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6"/>
    </row>
    <row r="14" spans="1:108" s="20" customFormat="1" ht="115.5" customHeight="1">
      <c r="A14" s="25" t="s">
        <v>13</v>
      </c>
      <c r="C14" s="20" t="s">
        <v>196</v>
      </c>
      <c r="D14" s="20" t="s">
        <v>195</v>
      </c>
      <c r="E14" s="20">
        <v>1</v>
      </c>
      <c r="F14" s="20" t="s">
        <v>21</v>
      </c>
      <c r="G14" s="60">
        <v>1300</v>
      </c>
      <c r="H14" s="20">
        <v>4</v>
      </c>
      <c r="I14" s="20" t="s">
        <v>17</v>
      </c>
      <c r="J14" s="20">
        <v>2</v>
      </c>
      <c r="K14" s="34"/>
      <c r="M14" s="20" t="s">
        <v>22</v>
      </c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1"/>
      <c r="DA14" s="71"/>
      <c r="DB14" s="71"/>
      <c r="DC14" s="71"/>
      <c r="DD14" s="76"/>
    </row>
    <row r="15" spans="1:108" s="20" customFormat="1" ht="115.5" customHeight="1">
      <c r="A15" s="25" t="s">
        <v>13</v>
      </c>
      <c r="C15" s="20" t="s">
        <v>197</v>
      </c>
      <c r="D15" s="20" t="s">
        <v>198</v>
      </c>
      <c r="E15" s="20">
        <v>1</v>
      </c>
      <c r="F15" s="20" t="s">
        <v>21</v>
      </c>
      <c r="G15" s="60">
        <v>1300</v>
      </c>
      <c r="H15" s="20" t="s">
        <v>147</v>
      </c>
      <c r="I15" s="20" t="s">
        <v>17</v>
      </c>
      <c r="J15" s="20">
        <v>2</v>
      </c>
      <c r="K15" s="34"/>
      <c r="M15" s="20" t="s">
        <v>22</v>
      </c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  <c r="CP15" s="71"/>
      <c r="CQ15" s="71"/>
      <c r="CR15" s="71"/>
      <c r="CS15" s="71"/>
      <c r="CT15" s="71"/>
      <c r="CU15" s="71"/>
      <c r="CV15" s="71"/>
      <c r="CW15" s="71"/>
      <c r="CX15" s="71"/>
      <c r="CY15" s="71"/>
      <c r="CZ15" s="71"/>
      <c r="DA15" s="71"/>
      <c r="DB15" s="71"/>
      <c r="DC15" s="71"/>
      <c r="DD15" s="76"/>
    </row>
    <row r="16" spans="1:108" s="20" customFormat="1" ht="96" customHeight="1">
      <c r="A16" s="20" t="s">
        <v>73</v>
      </c>
      <c r="C16" s="20" t="s">
        <v>199</v>
      </c>
      <c r="D16" s="34" t="s">
        <v>200</v>
      </c>
      <c r="E16" s="20">
        <v>1</v>
      </c>
      <c r="F16" s="20" t="s">
        <v>76</v>
      </c>
      <c r="G16" s="60">
        <v>600</v>
      </c>
      <c r="H16" s="20">
        <v>5</v>
      </c>
      <c r="I16" s="20" t="s">
        <v>77</v>
      </c>
      <c r="M16" s="20" t="s">
        <v>78</v>
      </c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  <c r="CQ16" s="71"/>
      <c r="CR16" s="71"/>
      <c r="CS16" s="71"/>
      <c r="CT16" s="71"/>
      <c r="CU16" s="71"/>
      <c r="CV16" s="71"/>
      <c r="CW16" s="71"/>
      <c r="CX16" s="71"/>
      <c r="CY16" s="71"/>
      <c r="CZ16" s="71"/>
      <c r="DA16" s="71"/>
      <c r="DB16" s="71"/>
      <c r="DC16" s="71"/>
      <c r="DD16" s="76"/>
    </row>
    <row r="17" spans="1:108" s="20" customFormat="1" ht="115.5" customHeight="1">
      <c r="A17" s="25" t="s">
        <v>13</v>
      </c>
      <c r="B17" s="20" t="s">
        <v>66</v>
      </c>
      <c r="C17" s="20" t="s">
        <v>201</v>
      </c>
      <c r="D17" s="20" t="s">
        <v>202</v>
      </c>
      <c r="E17" s="20">
        <v>4</v>
      </c>
      <c r="F17" s="20" t="s">
        <v>72</v>
      </c>
      <c r="G17" s="60">
        <v>3800</v>
      </c>
      <c r="H17" s="20">
        <v>4</v>
      </c>
      <c r="I17" s="20" t="s">
        <v>17</v>
      </c>
      <c r="J17" s="20">
        <v>2</v>
      </c>
      <c r="K17" s="34"/>
      <c r="M17" s="20" t="s">
        <v>18</v>
      </c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1"/>
      <c r="CU17" s="71"/>
      <c r="CV17" s="71"/>
      <c r="CW17" s="71"/>
      <c r="CX17" s="71"/>
      <c r="CY17" s="71"/>
      <c r="CZ17" s="71"/>
      <c r="DA17" s="71"/>
      <c r="DB17" s="71"/>
      <c r="DC17" s="71"/>
      <c r="DD17" s="76"/>
    </row>
    <row r="18" spans="1:108" s="20" customFormat="1" ht="115.5" customHeight="1">
      <c r="A18" s="25" t="s">
        <v>13</v>
      </c>
      <c r="B18" s="20" t="s">
        <v>66</v>
      </c>
      <c r="C18" s="20" t="s">
        <v>203</v>
      </c>
      <c r="D18" s="20" t="s">
        <v>204</v>
      </c>
      <c r="E18" s="20">
        <v>1</v>
      </c>
      <c r="F18" s="20" t="s">
        <v>16</v>
      </c>
      <c r="G18" s="60">
        <v>950</v>
      </c>
      <c r="H18" s="20">
        <v>4</v>
      </c>
      <c r="I18" s="20" t="s">
        <v>17</v>
      </c>
      <c r="J18" s="20">
        <v>2</v>
      </c>
      <c r="K18" s="34"/>
      <c r="M18" s="20" t="s">
        <v>18</v>
      </c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71"/>
      <c r="CL18" s="71"/>
      <c r="CM18" s="71"/>
      <c r="CN18" s="71"/>
      <c r="CO18" s="71"/>
      <c r="CP18" s="71"/>
      <c r="CQ18" s="71"/>
      <c r="CR18" s="71"/>
      <c r="CS18" s="71"/>
      <c r="CT18" s="71"/>
      <c r="CU18" s="71"/>
      <c r="CV18" s="71"/>
      <c r="CW18" s="71"/>
      <c r="CX18" s="71"/>
      <c r="CY18" s="71"/>
      <c r="CZ18" s="71"/>
      <c r="DA18" s="71"/>
      <c r="DB18" s="71"/>
      <c r="DC18" s="71"/>
      <c r="DD18" s="76"/>
    </row>
    <row r="19" spans="1:108" s="20" customFormat="1" ht="115.5" customHeight="1">
      <c r="A19" s="25" t="s">
        <v>13</v>
      </c>
      <c r="B19" s="20" t="s">
        <v>66</v>
      </c>
      <c r="C19" s="20" t="s">
        <v>205</v>
      </c>
      <c r="D19" s="20" t="s">
        <v>206</v>
      </c>
      <c r="E19" s="20">
        <v>1</v>
      </c>
      <c r="F19" s="20" t="s">
        <v>25</v>
      </c>
      <c r="G19" s="60">
        <v>950</v>
      </c>
      <c r="H19" s="20">
        <v>4</v>
      </c>
      <c r="I19" s="20" t="s">
        <v>17</v>
      </c>
      <c r="J19" s="20">
        <v>2</v>
      </c>
      <c r="K19" s="34">
        <v>44568</v>
      </c>
      <c r="M19" s="20" t="s">
        <v>22</v>
      </c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1"/>
      <c r="DA19" s="71"/>
      <c r="DB19" s="71"/>
      <c r="DC19" s="71"/>
      <c r="DD19" s="76"/>
    </row>
    <row r="20" spans="1:108" s="20" customFormat="1" ht="115.5" customHeight="1">
      <c r="A20" s="25" t="s">
        <v>13</v>
      </c>
      <c r="B20" s="78" t="s">
        <v>130</v>
      </c>
      <c r="C20" s="20" t="s">
        <v>207</v>
      </c>
      <c r="D20" s="20" t="s">
        <v>195</v>
      </c>
      <c r="E20" s="20">
        <v>4</v>
      </c>
      <c r="F20" s="20" t="s">
        <v>64</v>
      </c>
      <c r="G20" s="60">
        <v>2760</v>
      </c>
      <c r="H20" s="20">
        <v>30</v>
      </c>
      <c r="I20" s="20" t="s">
        <v>17</v>
      </c>
      <c r="J20" s="20">
        <v>2</v>
      </c>
      <c r="K20" s="34">
        <v>44959</v>
      </c>
      <c r="M20" s="20" t="s">
        <v>22</v>
      </c>
      <c r="N20" s="74"/>
      <c r="O20" s="74"/>
      <c r="P20" s="74"/>
      <c r="Q20" s="74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/>
      <c r="CK20" s="71"/>
      <c r="CL20" s="71"/>
      <c r="CM20" s="71"/>
      <c r="CN20" s="71"/>
      <c r="CO20" s="71"/>
      <c r="CP20" s="71"/>
      <c r="CQ20" s="71"/>
      <c r="CR20" s="71"/>
      <c r="CS20" s="71"/>
      <c r="CT20" s="71"/>
      <c r="CU20" s="71"/>
      <c r="CV20" s="71"/>
      <c r="CW20" s="71"/>
      <c r="CX20" s="71"/>
      <c r="CY20" s="71"/>
      <c r="CZ20" s="71"/>
      <c r="DA20" s="71"/>
      <c r="DB20" s="71"/>
      <c r="DC20" s="71"/>
      <c r="DD20" s="76"/>
    </row>
    <row r="21" spans="1:108" s="20" customFormat="1" ht="115.5" customHeight="1">
      <c r="A21" s="25" t="s">
        <v>13</v>
      </c>
      <c r="B21" s="78" t="s">
        <v>130</v>
      </c>
      <c r="C21" s="20" t="s">
        <v>208</v>
      </c>
      <c r="D21" s="20" t="s">
        <v>193</v>
      </c>
      <c r="E21" s="20">
        <v>1</v>
      </c>
      <c r="F21" s="20" t="s">
        <v>64</v>
      </c>
      <c r="G21" s="60">
        <v>690</v>
      </c>
      <c r="H21" s="20">
        <v>4</v>
      </c>
      <c r="I21" s="20" t="s">
        <v>17</v>
      </c>
      <c r="J21" s="20">
        <v>2</v>
      </c>
      <c r="K21" s="34">
        <v>44999</v>
      </c>
      <c r="M21" s="20" t="s">
        <v>22</v>
      </c>
      <c r="N21" s="74"/>
      <c r="O21" s="74"/>
      <c r="P21" s="74"/>
      <c r="Q21" s="74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/>
      <c r="CK21" s="71"/>
      <c r="CL21" s="71"/>
      <c r="CM21" s="71"/>
      <c r="CN21" s="71"/>
      <c r="CO21" s="71"/>
      <c r="CP21" s="71"/>
      <c r="CQ21" s="71"/>
      <c r="CR21" s="71"/>
      <c r="CS21" s="71"/>
      <c r="CT21" s="71"/>
      <c r="CU21" s="71"/>
      <c r="CV21" s="71"/>
      <c r="CW21" s="71"/>
      <c r="CX21" s="71"/>
      <c r="CY21" s="71"/>
      <c r="CZ21" s="71"/>
      <c r="DA21" s="71"/>
      <c r="DB21" s="71"/>
      <c r="DC21" s="71"/>
      <c r="DD21" s="76"/>
    </row>
    <row r="22" spans="1:108" s="20" customFormat="1" ht="102.75" customHeight="1">
      <c r="A22" s="25" t="s">
        <v>13</v>
      </c>
      <c r="B22" s="56" t="s">
        <v>209</v>
      </c>
      <c r="C22" s="20" t="s">
        <v>210</v>
      </c>
      <c r="D22" s="20" t="s">
        <v>211</v>
      </c>
      <c r="E22" s="20">
        <v>1</v>
      </c>
      <c r="F22" s="20" t="s">
        <v>48</v>
      </c>
      <c r="G22" s="60">
        <v>950</v>
      </c>
      <c r="H22" s="20">
        <v>30</v>
      </c>
      <c r="I22" s="20" t="s">
        <v>17</v>
      </c>
      <c r="J22" s="20">
        <v>2</v>
      </c>
      <c r="K22" s="34">
        <v>45040</v>
      </c>
      <c r="M22" s="20" t="s">
        <v>33</v>
      </c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1"/>
      <c r="CK22" s="71"/>
      <c r="CL22" s="71"/>
      <c r="CM22" s="71"/>
      <c r="CN22" s="71"/>
      <c r="CO22" s="71"/>
      <c r="CP22" s="71"/>
      <c r="CQ22" s="71"/>
      <c r="CR22" s="71"/>
      <c r="CS22" s="71"/>
      <c r="CT22" s="71"/>
      <c r="CU22" s="71"/>
      <c r="CV22" s="71"/>
      <c r="CW22" s="71"/>
      <c r="CX22" s="71"/>
      <c r="CY22" s="71"/>
      <c r="CZ22" s="71"/>
      <c r="DA22" s="71"/>
      <c r="DB22" s="71"/>
      <c r="DC22" s="71"/>
      <c r="DD22" s="76"/>
    </row>
    <row r="23" spans="1:108" s="20" customFormat="1" ht="102.75" customHeight="1">
      <c r="A23" s="25" t="s">
        <v>13</v>
      </c>
      <c r="B23" s="79" t="s">
        <v>110</v>
      </c>
      <c r="C23" s="20" t="s">
        <v>212</v>
      </c>
      <c r="D23" s="20" t="s">
        <v>213</v>
      </c>
      <c r="E23" s="20">
        <v>1</v>
      </c>
      <c r="F23" s="20" t="s">
        <v>113</v>
      </c>
      <c r="G23" s="60">
        <v>1300</v>
      </c>
      <c r="H23" s="20">
        <v>30</v>
      </c>
      <c r="I23" s="20" t="s">
        <v>17</v>
      </c>
      <c r="J23" s="20">
        <v>2</v>
      </c>
      <c r="K23" s="34">
        <v>45064</v>
      </c>
      <c r="M23" s="20" t="s">
        <v>33</v>
      </c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71"/>
      <c r="CL23" s="71"/>
      <c r="CM23" s="71"/>
      <c r="CN23" s="71"/>
      <c r="CO23" s="71"/>
      <c r="CP23" s="71"/>
      <c r="CQ23" s="71"/>
      <c r="CR23" s="71"/>
      <c r="CS23" s="71"/>
      <c r="CT23" s="71"/>
      <c r="CU23" s="71"/>
      <c r="CV23" s="71"/>
      <c r="CW23" s="71"/>
      <c r="CX23" s="71"/>
      <c r="CY23" s="71"/>
      <c r="CZ23" s="71"/>
      <c r="DA23" s="71"/>
      <c r="DB23" s="71"/>
      <c r="DC23" s="71"/>
      <c r="DD23" s="76"/>
    </row>
    <row r="24" spans="1:108" s="20" customFormat="1" ht="102.75" customHeight="1">
      <c r="A24" s="25" t="s">
        <v>13</v>
      </c>
      <c r="B24" s="79" t="s">
        <v>114</v>
      </c>
      <c r="C24" s="20" t="s">
        <v>214</v>
      </c>
      <c r="D24" s="20" t="s">
        <v>215</v>
      </c>
      <c r="E24" s="20">
        <v>1</v>
      </c>
      <c r="F24" s="20" t="s">
        <v>117</v>
      </c>
      <c r="G24" s="60">
        <v>950</v>
      </c>
      <c r="H24" s="20">
        <v>30</v>
      </c>
      <c r="I24" s="20" t="s">
        <v>17</v>
      </c>
      <c r="J24" s="20">
        <v>2</v>
      </c>
      <c r="K24" s="34">
        <v>45040</v>
      </c>
      <c r="M24" s="20" t="s">
        <v>33</v>
      </c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1"/>
      <c r="CA24" s="71"/>
      <c r="CB24" s="71"/>
      <c r="CC24" s="71"/>
      <c r="CD24" s="71"/>
      <c r="CE24" s="71"/>
      <c r="CF24" s="71"/>
      <c r="CG24" s="71"/>
      <c r="CH24" s="71"/>
      <c r="CI24" s="71"/>
      <c r="CJ24" s="71"/>
      <c r="CK24" s="71"/>
      <c r="CL24" s="71"/>
      <c r="CM24" s="71"/>
      <c r="CN24" s="71"/>
      <c r="CO24" s="71"/>
      <c r="CP24" s="71"/>
      <c r="CQ24" s="71"/>
      <c r="CR24" s="71"/>
      <c r="CS24" s="71"/>
      <c r="CT24" s="71"/>
      <c r="CU24" s="71"/>
      <c r="CV24" s="71"/>
      <c r="CW24" s="71"/>
      <c r="CX24" s="71"/>
      <c r="CY24" s="71"/>
      <c r="CZ24" s="71"/>
      <c r="DA24" s="71"/>
      <c r="DB24" s="71"/>
      <c r="DC24" s="71"/>
      <c r="DD24" s="76"/>
    </row>
    <row r="25" spans="1:108" s="98" customFormat="1" ht="51.75" customHeight="1">
      <c r="A25" s="98" t="s">
        <v>165</v>
      </c>
      <c r="G25" s="99">
        <f>SUM(G2:G24)</f>
        <v>29900</v>
      </c>
    </row>
  </sheetData>
  <autoFilter ref="A1:DD25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8"/>
  <dimension ref="A1:DD26"/>
  <sheetViews>
    <sheetView workbookViewId="0">
      <selection sqref="A1:XFD1048576"/>
    </sheetView>
  </sheetViews>
  <sheetFormatPr defaultColWidth="9" defaultRowHeight="15"/>
  <cols>
    <col min="1" max="1" width="21.28515625" customWidth="1"/>
    <col min="2" max="2" width="17.140625" customWidth="1"/>
    <col min="3" max="4" width="14.5703125" customWidth="1"/>
    <col min="5" max="5" width="10.85546875" customWidth="1"/>
    <col min="6" max="6" width="24.42578125" customWidth="1"/>
    <col min="7" max="7" width="12.28515625" customWidth="1"/>
    <col min="9" max="9" width="15.140625" customWidth="1"/>
    <col min="10" max="10" width="12.85546875" customWidth="1"/>
    <col min="11" max="11" width="10.85546875" customWidth="1"/>
    <col min="13" max="13" width="58.140625" customWidth="1"/>
  </cols>
  <sheetData>
    <row r="1" spans="1:108" s="58" customFormat="1" ht="70.5" customHeight="1">
      <c r="A1" s="5" t="s">
        <v>0</v>
      </c>
      <c r="B1" s="7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</row>
    <row r="2" spans="1:108" s="20" customFormat="1" ht="115.5" customHeight="1">
      <c r="A2" s="25" t="s">
        <v>13</v>
      </c>
      <c r="B2" s="20" t="s">
        <v>216</v>
      </c>
      <c r="C2" s="20" t="s">
        <v>217</v>
      </c>
      <c r="D2" s="20" t="s">
        <v>218</v>
      </c>
      <c r="E2" s="20">
        <v>2</v>
      </c>
      <c r="F2" s="20" t="s">
        <v>219</v>
      </c>
      <c r="G2" s="60">
        <v>1900</v>
      </c>
      <c r="I2" s="20" t="s">
        <v>17</v>
      </c>
      <c r="J2" s="20">
        <v>2</v>
      </c>
      <c r="K2" s="34"/>
      <c r="M2" s="20" t="s">
        <v>22</v>
      </c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  <c r="CY2" s="71"/>
      <c r="CZ2" s="71"/>
      <c r="DA2" s="71"/>
      <c r="DB2" s="71"/>
      <c r="DC2" s="71"/>
      <c r="DD2" s="76"/>
    </row>
    <row r="3" spans="1:108" s="20" customFormat="1" ht="115.5" customHeight="1">
      <c r="A3" s="25" t="s">
        <v>13</v>
      </c>
      <c r="B3" s="20" t="s">
        <v>220</v>
      </c>
      <c r="C3" s="20" t="s">
        <v>221</v>
      </c>
      <c r="E3" s="20">
        <v>1</v>
      </c>
      <c r="F3" s="20" t="s">
        <v>222</v>
      </c>
      <c r="G3" s="60">
        <v>1100</v>
      </c>
      <c r="I3" s="20" t="s">
        <v>17</v>
      </c>
      <c r="J3" s="20">
        <v>2</v>
      </c>
      <c r="K3" s="34"/>
      <c r="M3" s="20" t="s">
        <v>22</v>
      </c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1"/>
      <c r="CZ3" s="71"/>
      <c r="DA3" s="71"/>
      <c r="DB3" s="71"/>
      <c r="DC3" s="71"/>
      <c r="DD3" s="76"/>
    </row>
    <row r="4" spans="1:108" s="20" customFormat="1" ht="115.5" customHeight="1">
      <c r="A4" s="25" t="s">
        <v>13</v>
      </c>
      <c r="B4" s="78" t="s">
        <v>223</v>
      </c>
      <c r="C4" s="20" t="s">
        <v>224</v>
      </c>
      <c r="D4" s="20" t="s">
        <v>225</v>
      </c>
      <c r="E4" s="20">
        <v>1</v>
      </c>
      <c r="F4" s="20" t="s">
        <v>226</v>
      </c>
      <c r="G4" s="60">
        <v>950</v>
      </c>
      <c r="I4" s="20" t="s">
        <v>17</v>
      </c>
      <c r="J4" s="20">
        <v>2</v>
      </c>
      <c r="K4" s="34"/>
      <c r="M4" s="20" t="s">
        <v>22</v>
      </c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71"/>
      <c r="CN4" s="71"/>
      <c r="CO4" s="71"/>
      <c r="CP4" s="71"/>
      <c r="CQ4" s="71"/>
      <c r="CR4" s="71"/>
      <c r="CS4" s="71"/>
      <c r="CT4" s="71"/>
      <c r="CU4" s="71"/>
      <c r="CV4" s="71"/>
      <c r="CW4" s="71"/>
      <c r="CX4" s="71"/>
      <c r="CY4" s="71"/>
      <c r="CZ4" s="71"/>
      <c r="DA4" s="71"/>
      <c r="DB4" s="71"/>
      <c r="DC4" s="71"/>
      <c r="DD4" s="76"/>
    </row>
    <row r="5" spans="1:108" s="20" customFormat="1" ht="115.5" customHeight="1">
      <c r="A5" s="25" t="s">
        <v>13</v>
      </c>
      <c r="B5" s="20" t="s">
        <v>227</v>
      </c>
      <c r="C5" s="20" t="s">
        <v>228</v>
      </c>
      <c r="D5" s="20" t="s">
        <v>225</v>
      </c>
      <c r="E5" s="20">
        <v>1</v>
      </c>
      <c r="F5" s="20" t="s">
        <v>229</v>
      </c>
      <c r="G5" s="60">
        <v>950</v>
      </c>
      <c r="I5" s="20" t="s">
        <v>17</v>
      </c>
      <c r="J5" s="20">
        <v>2</v>
      </c>
      <c r="K5" s="34"/>
      <c r="M5" s="20" t="s">
        <v>22</v>
      </c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6"/>
    </row>
    <row r="6" spans="1:108" s="59" customFormat="1" ht="115.5" customHeight="1">
      <c r="A6" s="25" t="s">
        <v>13</v>
      </c>
      <c r="B6" s="78" t="s">
        <v>230</v>
      </c>
      <c r="C6" s="20" t="s">
        <v>231</v>
      </c>
      <c r="D6" s="20" t="s">
        <v>232</v>
      </c>
      <c r="E6" s="20">
        <v>1</v>
      </c>
      <c r="F6" s="20" t="s">
        <v>233</v>
      </c>
      <c r="G6" s="60">
        <v>950</v>
      </c>
      <c r="H6" s="20"/>
      <c r="I6" s="20" t="s">
        <v>17</v>
      </c>
      <c r="J6" s="20">
        <v>2</v>
      </c>
      <c r="K6" s="34"/>
      <c r="L6" s="20"/>
      <c r="M6" s="20" t="s">
        <v>22</v>
      </c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/>
      <c r="BR6" s="74"/>
      <c r="BS6" s="74"/>
      <c r="BT6" s="74"/>
      <c r="BU6" s="74"/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  <c r="DA6" s="74"/>
      <c r="DB6" s="74"/>
      <c r="DC6" s="74"/>
      <c r="DD6" s="77"/>
    </row>
    <row r="7" spans="1:108" s="20" customFormat="1" ht="115.5" customHeight="1">
      <c r="A7" s="25" t="s">
        <v>13</v>
      </c>
      <c r="B7" s="20" t="s">
        <v>234</v>
      </c>
      <c r="C7" s="20" t="s">
        <v>235</v>
      </c>
      <c r="D7" s="20" t="s">
        <v>236</v>
      </c>
      <c r="E7" s="20">
        <v>1</v>
      </c>
      <c r="F7" s="20" t="s">
        <v>237</v>
      </c>
      <c r="G7" s="60">
        <v>1300</v>
      </c>
      <c r="I7" s="20" t="s">
        <v>17</v>
      </c>
      <c r="J7" s="20">
        <v>2</v>
      </c>
      <c r="K7" s="34"/>
      <c r="M7" s="20" t="s">
        <v>22</v>
      </c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1"/>
      <c r="DA7" s="71"/>
      <c r="DB7" s="71"/>
      <c r="DC7" s="71"/>
      <c r="DD7" s="76"/>
    </row>
    <row r="8" spans="1:108" s="20" customFormat="1" ht="115.5" customHeight="1">
      <c r="A8" s="25" t="s">
        <v>13</v>
      </c>
      <c r="B8" s="20" t="s">
        <v>238</v>
      </c>
      <c r="C8" s="20" t="s">
        <v>239</v>
      </c>
      <c r="D8" s="20" t="s">
        <v>240</v>
      </c>
      <c r="E8" s="20">
        <v>1</v>
      </c>
      <c r="F8" s="20" t="s">
        <v>241</v>
      </c>
      <c r="G8" s="60">
        <v>1300</v>
      </c>
      <c r="I8" s="20" t="s">
        <v>17</v>
      </c>
      <c r="J8" s="20">
        <v>2</v>
      </c>
      <c r="K8" s="34"/>
      <c r="M8" s="20" t="s">
        <v>22</v>
      </c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1"/>
      <c r="DA8" s="71"/>
      <c r="DB8" s="71"/>
      <c r="DC8" s="71"/>
      <c r="DD8" s="76"/>
    </row>
    <row r="9" spans="1:108" s="20" customFormat="1" ht="115.5" customHeight="1">
      <c r="A9" s="25" t="s">
        <v>13</v>
      </c>
      <c r="B9" s="20" t="s">
        <v>238</v>
      </c>
      <c r="C9" s="20" t="s">
        <v>242</v>
      </c>
      <c r="D9" s="20" t="s">
        <v>240</v>
      </c>
      <c r="E9" s="20">
        <v>1</v>
      </c>
      <c r="F9" s="20" t="s">
        <v>243</v>
      </c>
      <c r="G9" s="60">
        <v>1300</v>
      </c>
      <c r="I9" s="20" t="s">
        <v>17</v>
      </c>
      <c r="J9" s="20">
        <v>2</v>
      </c>
      <c r="K9" s="34"/>
      <c r="M9" s="20" t="s">
        <v>22</v>
      </c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71"/>
      <c r="DA9" s="71"/>
      <c r="DB9" s="71"/>
      <c r="DC9" s="71"/>
      <c r="DD9" s="76"/>
    </row>
    <row r="10" spans="1:108" s="20" customFormat="1" ht="115.5" customHeight="1">
      <c r="A10" s="25" t="s">
        <v>13</v>
      </c>
      <c r="B10" s="20" t="s">
        <v>238</v>
      </c>
      <c r="C10" s="20" t="s">
        <v>244</v>
      </c>
      <c r="D10" s="20" t="s">
        <v>240</v>
      </c>
      <c r="E10" s="20">
        <v>1</v>
      </c>
      <c r="F10" s="20" t="s">
        <v>245</v>
      </c>
      <c r="G10" s="60">
        <v>1300</v>
      </c>
      <c r="I10" s="20" t="s">
        <v>17</v>
      </c>
      <c r="J10" s="20">
        <v>2</v>
      </c>
      <c r="K10" s="34"/>
      <c r="M10" s="20" t="s">
        <v>22</v>
      </c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6"/>
    </row>
    <row r="11" spans="1:108" s="19" customFormat="1" ht="105.75" customHeight="1">
      <c r="A11" s="25" t="s">
        <v>13</v>
      </c>
      <c r="B11" s="20"/>
      <c r="C11" s="20" t="s">
        <v>246</v>
      </c>
      <c r="D11" s="20" t="s">
        <v>247</v>
      </c>
      <c r="E11" s="20">
        <v>1</v>
      </c>
      <c r="F11" s="20" t="s">
        <v>171</v>
      </c>
      <c r="G11" s="60">
        <v>1300</v>
      </c>
      <c r="H11" s="20">
        <v>16</v>
      </c>
      <c r="I11" s="20" t="s">
        <v>17</v>
      </c>
      <c r="J11" s="20">
        <v>2</v>
      </c>
      <c r="K11" s="34">
        <v>45134</v>
      </c>
      <c r="L11" s="20"/>
      <c r="M11" s="20" t="s">
        <v>172</v>
      </c>
    </row>
    <row r="12" spans="1:108" s="19" customFormat="1" ht="85.5" customHeight="1">
      <c r="A12" s="25" t="s">
        <v>13</v>
      </c>
      <c r="B12" s="20"/>
      <c r="C12" s="20" t="s">
        <v>248</v>
      </c>
      <c r="D12" s="20" t="s">
        <v>249</v>
      </c>
      <c r="E12" s="20">
        <v>1</v>
      </c>
      <c r="F12" s="20" t="s">
        <v>175</v>
      </c>
      <c r="G12" s="60">
        <v>950</v>
      </c>
      <c r="H12" s="20">
        <v>16</v>
      </c>
      <c r="I12" s="20" t="s">
        <v>17</v>
      </c>
      <c r="J12" s="20">
        <v>2</v>
      </c>
      <c r="K12" s="34">
        <v>45134</v>
      </c>
      <c r="L12" s="20"/>
      <c r="M12" s="20" t="s">
        <v>22</v>
      </c>
    </row>
    <row r="13" spans="1:108" s="19" customFormat="1" ht="92.25" customHeight="1">
      <c r="A13" s="25" t="s">
        <v>13</v>
      </c>
      <c r="B13" s="20"/>
      <c r="C13" s="20" t="s">
        <v>250</v>
      </c>
      <c r="D13" s="20" t="s">
        <v>251</v>
      </c>
      <c r="E13" s="20">
        <v>1</v>
      </c>
      <c r="F13" s="20" t="s">
        <v>178</v>
      </c>
      <c r="G13" s="60">
        <v>950</v>
      </c>
      <c r="H13" s="20">
        <v>16</v>
      </c>
      <c r="I13" s="20" t="s">
        <v>17</v>
      </c>
      <c r="J13" s="20">
        <v>2</v>
      </c>
      <c r="K13" s="34">
        <v>45131</v>
      </c>
      <c r="L13" s="20"/>
      <c r="M13" s="20" t="s">
        <v>22</v>
      </c>
    </row>
    <row r="14" spans="1:108" ht="100.5" customHeight="1">
      <c r="A14" s="25" t="s">
        <v>13</v>
      </c>
      <c r="B14" s="20"/>
      <c r="C14" s="20" t="s">
        <v>252</v>
      </c>
      <c r="D14" s="20" t="s">
        <v>251</v>
      </c>
      <c r="E14" s="20">
        <v>1</v>
      </c>
      <c r="F14" s="20" t="s">
        <v>180</v>
      </c>
      <c r="G14" s="60">
        <v>950</v>
      </c>
      <c r="H14" s="20">
        <v>16</v>
      </c>
      <c r="I14" s="20" t="s">
        <v>17</v>
      </c>
      <c r="J14" s="20">
        <v>2</v>
      </c>
      <c r="K14" s="34">
        <v>45131</v>
      </c>
      <c r="L14" s="20"/>
      <c r="M14" s="20" t="s">
        <v>22</v>
      </c>
    </row>
    <row r="15" spans="1:108" s="19" customFormat="1" ht="70.5" customHeight="1">
      <c r="A15" s="25" t="s">
        <v>13</v>
      </c>
      <c r="B15" s="20" t="s">
        <v>187</v>
      </c>
      <c r="C15" s="20" t="s">
        <v>253</v>
      </c>
      <c r="D15" s="20" t="s">
        <v>254</v>
      </c>
      <c r="E15" s="20">
        <v>2</v>
      </c>
      <c r="F15" s="20" t="s">
        <v>129</v>
      </c>
      <c r="G15" s="60">
        <v>950</v>
      </c>
      <c r="H15" s="20">
        <v>16</v>
      </c>
      <c r="I15" s="20" t="s">
        <v>17</v>
      </c>
      <c r="J15" s="20">
        <v>2</v>
      </c>
      <c r="K15" s="34">
        <v>45099</v>
      </c>
      <c r="L15" s="20"/>
      <c r="M15" s="20" t="s">
        <v>22</v>
      </c>
    </row>
    <row r="16" spans="1:108" ht="106.5" customHeight="1">
      <c r="A16" s="25" t="s">
        <v>13</v>
      </c>
      <c r="B16" s="78" t="s">
        <v>138</v>
      </c>
      <c r="C16" s="20" t="s">
        <v>255</v>
      </c>
      <c r="D16" s="20" t="s">
        <v>256</v>
      </c>
      <c r="E16" s="20">
        <v>1</v>
      </c>
      <c r="F16" s="20" t="s">
        <v>140</v>
      </c>
      <c r="G16" s="60">
        <v>950</v>
      </c>
      <c r="H16" s="20">
        <v>4</v>
      </c>
      <c r="I16" s="20" t="s">
        <v>17</v>
      </c>
      <c r="J16" s="20">
        <v>2</v>
      </c>
      <c r="K16" s="34"/>
      <c r="L16" s="20"/>
      <c r="M16" s="20" t="s">
        <v>22</v>
      </c>
    </row>
    <row r="17" spans="1:13" s="19" customFormat="1" ht="111" customHeight="1">
      <c r="A17" s="25" t="s">
        <v>13</v>
      </c>
      <c r="B17" s="20"/>
      <c r="C17" s="20" t="s">
        <v>257</v>
      </c>
      <c r="D17" s="20" t="s">
        <v>258</v>
      </c>
      <c r="E17" s="20">
        <v>1</v>
      </c>
      <c r="F17" s="20" t="s">
        <v>143</v>
      </c>
      <c r="G17" s="60">
        <v>1300</v>
      </c>
      <c r="H17" s="20">
        <v>4</v>
      </c>
      <c r="I17" s="20" t="s">
        <v>17</v>
      </c>
      <c r="J17" s="20">
        <v>2</v>
      </c>
      <c r="K17" s="34"/>
      <c r="L17" s="20"/>
      <c r="M17" s="20" t="s">
        <v>22</v>
      </c>
    </row>
    <row r="18" spans="1:13" s="19" customFormat="1" ht="76.5" customHeight="1">
      <c r="A18" s="25" t="s">
        <v>13</v>
      </c>
      <c r="B18" s="96" t="s">
        <v>103</v>
      </c>
      <c r="C18" s="20" t="s">
        <v>257</v>
      </c>
      <c r="D18" s="20" t="s">
        <v>254</v>
      </c>
      <c r="E18" s="20">
        <v>1</v>
      </c>
      <c r="F18" s="20" t="s">
        <v>105</v>
      </c>
      <c r="G18" s="60">
        <v>1300</v>
      </c>
      <c r="H18" s="20">
        <v>19</v>
      </c>
      <c r="I18" s="20" t="s">
        <v>17</v>
      </c>
      <c r="J18" s="20">
        <v>2</v>
      </c>
      <c r="K18" s="34">
        <v>45068</v>
      </c>
      <c r="L18" s="20"/>
      <c r="M18" s="20" t="s">
        <v>22</v>
      </c>
    </row>
    <row r="19" spans="1:13" s="19" customFormat="1" ht="86.25" customHeight="1">
      <c r="A19" s="25" t="s">
        <v>13</v>
      </c>
      <c r="B19" s="20"/>
      <c r="C19" s="20" t="s">
        <v>259</v>
      </c>
      <c r="D19" s="20" t="s">
        <v>258</v>
      </c>
      <c r="E19" s="20">
        <v>1</v>
      </c>
      <c r="F19" s="20" t="s">
        <v>21</v>
      </c>
      <c r="G19" s="60">
        <v>1300</v>
      </c>
      <c r="H19" s="20">
        <v>4</v>
      </c>
      <c r="I19" s="20" t="s">
        <v>17</v>
      </c>
      <c r="J19" s="20">
        <v>2</v>
      </c>
      <c r="K19" s="34"/>
      <c r="L19" s="20"/>
      <c r="M19" s="20" t="s">
        <v>22</v>
      </c>
    </row>
    <row r="20" spans="1:13" s="19" customFormat="1" ht="97.5" customHeight="1">
      <c r="A20" s="25" t="s">
        <v>13</v>
      </c>
      <c r="B20" s="20"/>
      <c r="C20" s="20" t="s">
        <v>259</v>
      </c>
      <c r="D20" s="20" t="s">
        <v>260</v>
      </c>
      <c r="E20" s="20">
        <v>1</v>
      </c>
      <c r="F20" s="20" t="s">
        <v>21</v>
      </c>
      <c r="G20" s="60">
        <v>1300</v>
      </c>
      <c r="H20" s="20" t="s">
        <v>147</v>
      </c>
      <c r="I20" s="20" t="s">
        <v>17</v>
      </c>
      <c r="J20" s="20">
        <v>2</v>
      </c>
      <c r="K20" s="34"/>
      <c r="L20" s="20"/>
      <c r="M20" s="20" t="s">
        <v>22</v>
      </c>
    </row>
    <row r="21" spans="1:13" s="19" customFormat="1" ht="105">
      <c r="A21" s="20" t="s">
        <v>73</v>
      </c>
      <c r="B21" s="20"/>
      <c r="C21" s="20" t="s">
        <v>261</v>
      </c>
      <c r="D21" s="34" t="s">
        <v>262</v>
      </c>
      <c r="E21" s="20">
        <v>1</v>
      </c>
      <c r="F21" s="20" t="s">
        <v>76</v>
      </c>
      <c r="G21" s="60">
        <v>600</v>
      </c>
      <c r="H21" s="20">
        <v>5</v>
      </c>
      <c r="I21" s="20" t="s">
        <v>77</v>
      </c>
      <c r="J21" s="20"/>
      <c r="K21" s="20"/>
      <c r="L21" s="20"/>
      <c r="M21" s="20" t="s">
        <v>78</v>
      </c>
    </row>
    <row r="22" spans="1:13" s="19" customFormat="1" ht="89.25" customHeight="1">
      <c r="A22" s="25" t="s">
        <v>13</v>
      </c>
      <c r="B22" s="20" t="s">
        <v>66</v>
      </c>
      <c r="C22" s="20" t="s">
        <v>263</v>
      </c>
      <c r="D22" s="20" t="s">
        <v>264</v>
      </c>
      <c r="E22" s="20">
        <v>4</v>
      </c>
      <c r="F22" s="20" t="s">
        <v>72</v>
      </c>
      <c r="G22" s="60">
        <v>3800</v>
      </c>
      <c r="H22" s="20">
        <v>4</v>
      </c>
      <c r="I22" s="20" t="s">
        <v>17</v>
      </c>
      <c r="J22" s="20">
        <v>2</v>
      </c>
      <c r="K22" s="34"/>
      <c r="L22" s="20"/>
      <c r="M22" s="20" t="s">
        <v>18</v>
      </c>
    </row>
    <row r="23" spans="1:13" s="19" customFormat="1" ht="84" customHeight="1">
      <c r="A23" s="25" t="s">
        <v>13</v>
      </c>
      <c r="B23" s="20" t="s">
        <v>66</v>
      </c>
      <c r="C23" s="20" t="s">
        <v>265</v>
      </c>
      <c r="D23" s="20" t="s">
        <v>266</v>
      </c>
      <c r="E23" s="20">
        <v>1</v>
      </c>
      <c r="F23" s="20" t="s">
        <v>16</v>
      </c>
      <c r="G23" s="60">
        <v>950</v>
      </c>
      <c r="H23" s="20">
        <v>4</v>
      </c>
      <c r="I23" s="20" t="s">
        <v>17</v>
      </c>
      <c r="J23" s="20">
        <v>2</v>
      </c>
      <c r="K23" s="34"/>
      <c r="L23" s="20"/>
      <c r="M23" s="20" t="s">
        <v>18</v>
      </c>
    </row>
    <row r="24" spans="1:13" s="19" customFormat="1" ht="102" customHeight="1">
      <c r="A24" s="25" t="s">
        <v>13</v>
      </c>
      <c r="B24" s="20" t="s">
        <v>66</v>
      </c>
      <c r="C24" s="20" t="s">
        <v>267</v>
      </c>
      <c r="D24" s="20" t="s">
        <v>268</v>
      </c>
      <c r="E24" s="20">
        <v>1</v>
      </c>
      <c r="F24" s="20" t="s">
        <v>25</v>
      </c>
      <c r="G24" s="60">
        <v>950</v>
      </c>
      <c r="H24" s="20">
        <v>4</v>
      </c>
      <c r="I24" s="20" t="s">
        <v>17</v>
      </c>
      <c r="J24" s="20">
        <v>2</v>
      </c>
      <c r="K24" s="34">
        <v>44568</v>
      </c>
      <c r="L24" s="20"/>
      <c r="M24" s="20" t="s">
        <v>22</v>
      </c>
    </row>
    <row r="25" spans="1:13" s="19" customFormat="1" ht="80.25" customHeight="1">
      <c r="A25" s="25" t="s">
        <v>13</v>
      </c>
      <c r="B25" s="79" t="s">
        <v>110</v>
      </c>
      <c r="C25" s="20" t="s">
        <v>269</v>
      </c>
      <c r="D25" s="20" t="s">
        <v>225</v>
      </c>
      <c r="E25" s="20">
        <v>1</v>
      </c>
      <c r="F25" s="20" t="s">
        <v>113</v>
      </c>
      <c r="G25" s="60">
        <v>1300</v>
      </c>
      <c r="H25" s="20">
        <v>30</v>
      </c>
      <c r="I25" s="20" t="s">
        <v>17</v>
      </c>
      <c r="J25" s="20">
        <v>2</v>
      </c>
      <c r="K25" s="34">
        <v>45064</v>
      </c>
      <c r="L25" s="20"/>
      <c r="M25" s="20" t="s">
        <v>33</v>
      </c>
    </row>
    <row r="26" spans="1:13" s="19" customFormat="1" ht="93.75" customHeight="1">
      <c r="A26" s="25" t="s">
        <v>13</v>
      </c>
      <c r="B26" s="79" t="s">
        <v>114</v>
      </c>
      <c r="C26" s="20" t="s">
        <v>270</v>
      </c>
      <c r="D26" s="20" t="s">
        <v>271</v>
      </c>
      <c r="E26" s="20">
        <v>1</v>
      </c>
      <c r="F26" s="20" t="s">
        <v>117</v>
      </c>
      <c r="G26" s="60">
        <v>950</v>
      </c>
      <c r="H26" s="20">
        <v>30</v>
      </c>
      <c r="I26" s="20" t="s">
        <v>17</v>
      </c>
      <c r="J26" s="20">
        <v>2</v>
      </c>
      <c r="K26" s="34">
        <v>45040</v>
      </c>
      <c r="L26" s="20"/>
      <c r="M26" s="20" t="s">
        <v>33</v>
      </c>
    </row>
  </sheetData>
  <autoFilter ref="A1:DD26" xr:uid="{00000000-0009-0000-0000-000007000000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9"/>
  <dimension ref="A1:DD28"/>
  <sheetViews>
    <sheetView topLeftCell="A13" workbookViewId="0">
      <selection sqref="A1:XFD1048576"/>
    </sheetView>
  </sheetViews>
  <sheetFormatPr defaultColWidth="9" defaultRowHeight="15"/>
  <cols>
    <col min="1" max="1" width="21.28515625" customWidth="1"/>
    <col min="2" max="2" width="17.140625" customWidth="1"/>
    <col min="3" max="4" width="14.5703125" customWidth="1"/>
    <col min="5" max="5" width="10.85546875" customWidth="1"/>
    <col min="6" max="6" width="24.42578125" customWidth="1"/>
    <col min="7" max="7" width="12.28515625" customWidth="1"/>
    <col min="9" max="9" width="15.140625" customWidth="1"/>
    <col min="10" max="10" width="12.85546875" customWidth="1"/>
    <col min="11" max="11" width="10.85546875" customWidth="1"/>
    <col min="13" max="13" width="58.140625" customWidth="1"/>
  </cols>
  <sheetData>
    <row r="1" spans="1:108" s="58" customFormat="1" ht="70.5" customHeight="1">
      <c r="A1" s="5" t="s">
        <v>0</v>
      </c>
      <c r="B1" s="7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</row>
    <row r="2" spans="1:108" s="59" customFormat="1" ht="115.5" customHeight="1">
      <c r="A2" s="25" t="s">
        <v>13</v>
      </c>
      <c r="B2" s="78" t="s">
        <v>272</v>
      </c>
      <c r="C2" s="20" t="s">
        <v>273</v>
      </c>
      <c r="D2" s="20" t="s">
        <v>274</v>
      </c>
      <c r="E2" s="20">
        <v>1</v>
      </c>
      <c r="F2" s="20" t="s">
        <v>275</v>
      </c>
      <c r="G2" s="60">
        <v>1300</v>
      </c>
      <c r="H2" s="20"/>
      <c r="I2" s="20" t="s">
        <v>17</v>
      </c>
      <c r="J2" s="20">
        <v>2</v>
      </c>
      <c r="K2" s="34"/>
      <c r="L2" s="20"/>
      <c r="M2" s="20" t="s">
        <v>22</v>
      </c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7"/>
    </row>
    <row r="3" spans="1:108" s="20" customFormat="1" ht="115.5" customHeight="1">
      <c r="A3" s="25" t="s">
        <v>13</v>
      </c>
      <c r="B3" s="20" t="s">
        <v>276</v>
      </c>
      <c r="C3" s="20" t="s">
        <v>277</v>
      </c>
      <c r="D3" s="20" t="s">
        <v>278</v>
      </c>
      <c r="E3" s="20">
        <v>4</v>
      </c>
      <c r="F3" s="20" t="s">
        <v>279</v>
      </c>
      <c r="G3" s="60">
        <v>3800</v>
      </c>
      <c r="I3" s="20" t="s">
        <v>17</v>
      </c>
      <c r="J3" s="20">
        <v>2</v>
      </c>
      <c r="K3" s="34"/>
      <c r="M3" s="20" t="s">
        <v>22</v>
      </c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1"/>
      <c r="CZ3" s="71"/>
      <c r="DA3" s="71"/>
      <c r="DB3" s="71"/>
      <c r="DC3" s="71"/>
      <c r="DD3" s="76"/>
    </row>
    <row r="4" spans="1:108" s="19" customFormat="1" ht="100.5" customHeight="1">
      <c r="A4" s="25" t="s">
        <v>13</v>
      </c>
      <c r="B4" s="20" t="s">
        <v>280</v>
      </c>
      <c r="C4" s="20" t="s">
        <v>281</v>
      </c>
      <c r="D4" s="20" t="s">
        <v>282</v>
      </c>
      <c r="E4" s="20">
        <v>1</v>
      </c>
      <c r="F4" s="20" t="s">
        <v>180</v>
      </c>
      <c r="G4" s="60">
        <v>950</v>
      </c>
      <c r="H4" s="20">
        <v>16</v>
      </c>
      <c r="I4" s="20" t="s">
        <v>17</v>
      </c>
      <c r="J4" s="20">
        <v>2</v>
      </c>
      <c r="K4" s="34">
        <v>45188</v>
      </c>
      <c r="L4" s="20"/>
      <c r="M4" s="20" t="s">
        <v>22</v>
      </c>
    </row>
    <row r="5" spans="1:108" s="20" customFormat="1" ht="115.5" customHeight="1">
      <c r="A5" s="25" t="s">
        <v>13</v>
      </c>
      <c r="B5" s="20" t="s">
        <v>283</v>
      </c>
      <c r="C5" s="20" t="s">
        <v>284</v>
      </c>
      <c r="D5" s="20" t="s">
        <v>285</v>
      </c>
      <c r="E5" s="20">
        <v>1</v>
      </c>
      <c r="F5" s="20" t="s">
        <v>286</v>
      </c>
      <c r="G5" s="60">
        <v>950</v>
      </c>
      <c r="I5" s="20" t="s">
        <v>17</v>
      </c>
      <c r="J5" s="20">
        <v>2</v>
      </c>
      <c r="K5" s="34"/>
      <c r="M5" s="20" t="s">
        <v>22</v>
      </c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6"/>
    </row>
    <row r="6" spans="1:108" s="20" customFormat="1" ht="115.5" customHeight="1">
      <c r="A6" s="25" t="s">
        <v>13</v>
      </c>
      <c r="B6" s="20" t="s">
        <v>216</v>
      </c>
      <c r="C6" s="20" t="s">
        <v>287</v>
      </c>
      <c r="D6" s="20" t="s">
        <v>288</v>
      </c>
      <c r="E6" s="20">
        <v>2</v>
      </c>
      <c r="F6" s="20" t="s">
        <v>219</v>
      </c>
      <c r="G6" s="60">
        <v>1960</v>
      </c>
      <c r="I6" s="20" t="s">
        <v>17</v>
      </c>
      <c r="J6" s="20">
        <v>2</v>
      </c>
      <c r="K6" s="34"/>
      <c r="M6" s="20" t="s">
        <v>22</v>
      </c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  <c r="CY6" s="71"/>
      <c r="CZ6" s="71"/>
      <c r="DA6" s="71"/>
      <c r="DB6" s="71"/>
      <c r="DC6" s="71"/>
      <c r="DD6" s="76"/>
    </row>
    <row r="7" spans="1:108" s="20" customFormat="1" ht="115.5" customHeight="1">
      <c r="A7" s="25" t="s">
        <v>13</v>
      </c>
      <c r="B7" s="20" t="s">
        <v>227</v>
      </c>
      <c r="C7" s="20" t="s">
        <v>287</v>
      </c>
      <c r="D7" s="20" t="s">
        <v>289</v>
      </c>
      <c r="E7" s="20">
        <v>1</v>
      </c>
      <c r="F7" s="20" t="s">
        <v>229</v>
      </c>
      <c r="G7" s="60">
        <v>950</v>
      </c>
      <c r="I7" s="20" t="s">
        <v>17</v>
      </c>
      <c r="J7" s="20">
        <v>2</v>
      </c>
      <c r="K7" s="34"/>
      <c r="M7" s="20" t="s">
        <v>22</v>
      </c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1"/>
      <c r="DA7" s="71"/>
      <c r="DB7" s="71"/>
      <c r="DC7" s="71"/>
      <c r="DD7" s="76"/>
    </row>
    <row r="8" spans="1:108" s="20" customFormat="1" ht="115.5" customHeight="1">
      <c r="A8" s="25" t="s">
        <v>13</v>
      </c>
      <c r="B8" s="20" t="s">
        <v>234</v>
      </c>
      <c r="C8" s="20" t="s">
        <v>290</v>
      </c>
      <c r="D8" s="20" t="s">
        <v>291</v>
      </c>
      <c r="E8" s="20">
        <v>1</v>
      </c>
      <c r="F8" s="20" t="s">
        <v>237</v>
      </c>
      <c r="G8" s="60">
        <v>1300</v>
      </c>
      <c r="I8" s="20" t="s">
        <v>17</v>
      </c>
      <c r="J8" s="20">
        <v>2</v>
      </c>
      <c r="K8" s="34"/>
      <c r="M8" s="20" t="s">
        <v>22</v>
      </c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1"/>
      <c r="DA8" s="71"/>
      <c r="DB8" s="71"/>
      <c r="DC8" s="71"/>
      <c r="DD8" s="76"/>
    </row>
    <row r="9" spans="1:108" s="20" customFormat="1" ht="115.5" customHeight="1">
      <c r="A9" s="25" t="s">
        <v>13</v>
      </c>
      <c r="B9" s="20" t="s">
        <v>238</v>
      </c>
      <c r="C9" s="20" t="s">
        <v>292</v>
      </c>
      <c r="D9" s="20" t="s">
        <v>293</v>
      </c>
      <c r="E9" s="20">
        <v>1</v>
      </c>
      <c r="F9" s="20" t="s">
        <v>241</v>
      </c>
      <c r="G9" s="60">
        <v>1300</v>
      </c>
      <c r="I9" s="20" t="s">
        <v>17</v>
      </c>
      <c r="J9" s="20">
        <v>2</v>
      </c>
      <c r="K9" s="34"/>
      <c r="M9" s="20" t="s">
        <v>22</v>
      </c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71"/>
      <c r="DA9" s="71"/>
      <c r="DB9" s="71"/>
      <c r="DC9" s="71"/>
      <c r="DD9" s="76"/>
    </row>
    <row r="10" spans="1:108" s="20" customFormat="1" ht="115.5" customHeight="1">
      <c r="A10" s="25" t="s">
        <v>13</v>
      </c>
      <c r="B10" s="20" t="s">
        <v>238</v>
      </c>
      <c r="C10" s="20" t="s">
        <v>294</v>
      </c>
      <c r="D10" s="20" t="s">
        <v>293</v>
      </c>
      <c r="E10" s="20">
        <v>1</v>
      </c>
      <c r="F10" s="20" t="s">
        <v>243</v>
      </c>
      <c r="G10" s="60">
        <v>1300</v>
      </c>
      <c r="I10" s="20" t="s">
        <v>17</v>
      </c>
      <c r="J10" s="20">
        <v>2</v>
      </c>
      <c r="K10" s="34"/>
      <c r="M10" s="20" t="s">
        <v>22</v>
      </c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6"/>
    </row>
    <row r="11" spans="1:108" s="20" customFormat="1" ht="115.5" customHeight="1">
      <c r="A11" s="25" t="s">
        <v>13</v>
      </c>
      <c r="B11" s="20" t="s">
        <v>238</v>
      </c>
      <c r="C11" s="20" t="s">
        <v>292</v>
      </c>
      <c r="D11" s="20" t="s">
        <v>293</v>
      </c>
      <c r="E11" s="20">
        <v>1</v>
      </c>
      <c r="F11" s="20" t="s">
        <v>245</v>
      </c>
      <c r="G11" s="60">
        <v>1300</v>
      </c>
      <c r="I11" s="20" t="s">
        <v>17</v>
      </c>
      <c r="J11" s="20">
        <v>2</v>
      </c>
      <c r="K11" s="34"/>
      <c r="M11" s="20" t="s">
        <v>22</v>
      </c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  <c r="CT11" s="71"/>
      <c r="CU11" s="71"/>
      <c r="CV11" s="71"/>
      <c r="CW11" s="71"/>
      <c r="CX11" s="71"/>
      <c r="CY11" s="71"/>
      <c r="CZ11" s="71"/>
      <c r="DA11" s="71"/>
      <c r="DB11" s="71"/>
      <c r="DC11" s="71"/>
      <c r="DD11" s="76"/>
    </row>
    <row r="12" spans="1:108" s="19" customFormat="1" ht="105.75" customHeight="1">
      <c r="A12" s="25" t="s">
        <v>13</v>
      </c>
      <c r="B12" s="20"/>
      <c r="C12" s="20" t="s">
        <v>295</v>
      </c>
      <c r="D12" s="20" t="s">
        <v>296</v>
      </c>
      <c r="E12" s="20">
        <v>1</v>
      </c>
      <c r="F12" s="20" t="s">
        <v>171</v>
      </c>
      <c r="G12" s="60">
        <v>1300</v>
      </c>
      <c r="H12" s="20">
        <v>16</v>
      </c>
      <c r="I12" s="20" t="s">
        <v>17</v>
      </c>
      <c r="J12" s="20">
        <v>2</v>
      </c>
      <c r="K12" s="34">
        <v>45134</v>
      </c>
      <c r="L12" s="20"/>
      <c r="M12" s="20" t="s">
        <v>172</v>
      </c>
    </row>
    <row r="13" spans="1:108" s="19" customFormat="1" ht="85.5" customHeight="1">
      <c r="A13" s="25" t="s">
        <v>13</v>
      </c>
      <c r="B13" s="20"/>
      <c r="C13" s="20" t="s">
        <v>297</v>
      </c>
      <c r="D13" s="20" t="s">
        <v>298</v>
      </c>
      <c r="E13" s="20">
        <v>1</v>
      </c>
      <c r="F13" s="20" t="s">
        <v>175</v>
      </c>
      <c r="G13" s="60">
        <v>950</v>
      </c>
      <c r="H13" s="20">
        <v>16</v>
      </c>
      <c r="I13" s="20" t="s">
        <v>17</v>
      </c>
      <c r="J13" s="20">
        <v>2</v>
      </c>
      <c r="K13" s="34">
        <v>45134</v>
      </c>
      <c r="L13" s="20"/>
      <c r="M13" s="20" t="s">
        <v>22</v>
      </c>
    </row>
    <row r="14" spans="1:108" s="19" customFormat="1" ht="92.25" customHeight="1">
      <c r="A14" s="25" t="s">
        <v>13</v>
      </c>
      <c r="B14" s="20"/>
      <c r="C14" s="20" t="s">
        <v>299</v>
      </c>
      <c r="D14" s="20" t="s">
        <v>300</v>
      </c>
      <c r="E14" s="20">
        <v>1</v>
      </c>
      <c r="F14" s="20" t="s">
        <v>178</v>
      </c>
      <c r="G14" s="60">
        <v>950</v>
      </c>
      <c r="H14" s="20">
        <v>16</v>
      </c>
      <c r="I14" s="20" t="s">
        <v>17</v>
      </c>
      <c r="J14" s="20">
        <v>2</v>
      </c>
      <c r="K14" s="34">
        <v>45131</v>
      </c>
      <c r="L14" s="20"/>
      <c r="M14" s="20" t="s">
        <v>22</v>
      </c>
    </row>
    <row r="15" spans="1:108" s="19" customFormat="1" ht="100.5" customHeight="1">
      <c r="A15" s="25" t="s">
        <v>13</v>
      </c>
      <c r="B15" s="20"/>
      <c r="C15" s="20" t="s">
        <v>299</v>
      </c>
      <c r="D15" s="20" t="s">
        <v>300</v>
      </c>
      <c r="E15" s="20">
        <v>1</v>
      </c>
      <c r="F15" s="20" t="s">
        <v>180</v>
      </c>
      <c r="G15" s="60">
        <v>950</v>
      </c>
      <c r="H15" s="20">
        <v>16</v>
      </c>
      <c r="I15" s="20" t="s">
        <v>17</v>
      </c>
      <c r="J15" s="20">
        <v>2</v>
      </c>
      <c r="K15" s="34">
        <v>45131</v>
      </c>
      <c r="L15" s="20"/>
      <c r="M15" s="20" t="s">
        <v>22</v>
      </c>
    </row>
    <row r="16" spans="1:108" s="19" customFormat="1" ht="70.5" customHeight="1">
      <c r="A16" s="25" t="s">
        <v>13</v>
      </c>
      <c r="B16" s="78" t="s">
        <v>301</v>
      </c>
      <c r="C16" s="20"/>
      <c r="D16" s="20" t="s">
        <v>302</v>
      </c>
      <c r="E16" s="20">
        <v>2</v>
      </c>
      <c r="F16" s="20" t="s">
        <v>129</v>
      </c>
      <c r="G16" s="60">
        <v>0</v>
      </c>
      <c r="H16" s="20">
        <v>16</v>
      </c>
      <c r="I16" s="20" t="s">
        <v>17</v>
      </c>
      <c r="J16" s="20">
        <v>2</v>
      </c>
      <c r="K16" s="34">
        <v>45099</v>
      </c>
      <c r="L16" s="20"/>
      <c r="M16" s="20" t="s">
        <v>22</v>
      </c>
    </row>
    <row r="17" spans="1:108" ht="106.5" customHeight="1">
      <c r="A17" s="25" t="s">
        <v>13</v>
      </c>
      <c r="B17" s="78" t="s">
        <v>138</v>
      </c>
      <c r="C17" s="20" t="s">
        <v>303</v>
      </c>
      <c r="D17" s="20" t="s">
        <v>304</v>
      </c>
      <c r="E17" s="20">
        <v>1</v>
      </c>
      <c r="F17" s="20" t="s">
        <v>140</v>
      </c>
      <c r="G17" s="60">
        <v>950</v>
      </c>
      <c r="H17" s="20">
        <v>4</v>
      </c>
      <c r="I17" s="20" t="s">
        <v>17</v>
      </c>
      <c r="J17" s="20">
        <v>2</v>
      </c>
      <c r="K17" s="34"/>
      <c r="L17" s="20"/>
      <c r="M17" s="20" t="s">
        <v>22</v>
      </c>
      <c r="N17" s="1"/>
      <c r="O17" s="1"/>
    </row>
    <row r="18" spans="1:108" s="19" customFormat="1" ht="111" customHeight="1">
      <c r="A18" s="25" t="s">
        <v>13</v>
      </c>
      <c r="B18" s="20"/>
      <c r="C18" s="20" t="s">
        <v>305</v>
      </c>
      <c r="D18" s="20" t="s">
        <v>306</v>
      </c>
      <c r="E18" s="20">
        <v>1</v>
      </c>
      <c r="F18" s="20" t="s">
        <v>143</v>
      </c>
      <c r="G18" s="60">
        <v>1300</v>
      </c>
      <c r="H18" s="20">
        <v>4</v>
      </c>
      <c r="I18" s="20" t="s">
        <v>17</v>
      </c>
      <c r="J18" s="20">
        <v>2</v>
      </c>
      <c r="K18" s="34"/>
      <c r="L18" s="20"/>
      <c r="M18" s="20" t="s">
        <v>22</v>
      </c>
    </row>
    <row r="19" spans="1:108" s="20" customFormat="1" ht="115.5" customHeight="1">
      <c r="A19" s="25" t="s">
        <v>13</v>
      </c>
      <c r="B19" s="20" t="s">
        <v>307</v>
      </c>
      <c r="C19" s="20" t="s">
        <v>305</v>
      </c>
      <c r="D19" s="20" t="s">
        <v>308</v>
      </c>
      <c r="E19" s="20">
        <v>2</v>
      </c>
      <c r="F19" s="20" t="s">
        <v>309</v>
      </c>
      <c r="G19" s="60">
        <v>1300</v>
      </c>
      <c r="I19" s="20" t="s">
        <v>17</v>
      </c>
      <c r="J19" s="20">
        <v>2</v>
      </c>
      <c r="K19" s="34"/>
      <c r="M19" s="20" t="s">
        <v>22</v>
      </c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1"/>
      <c r="DA19" s="71"/>
      <c r="DB19" s="71"/>
      <c r="DC19" s="71"/>
      <c r="DD19" s="76"/>
    </row>
    <row r="20" spans="1:108" s="19" customFormat="1" ht="76.5" customHeight="1">
      <c r="A20" s="25" t="s">
        <v>13</v>
      </c>
      <c r="B20" s="95" t="s">
        <v>310</v>
      </c>
      <c r="C20" s="20" t="s">
        <v>305</v>
      </c>
      <c r="D20" s="20" t="s">
        <v>302</v>
      </c>
      <c r="E20" s="20">
        <v>1</v>
      </c>
      <c r="F20" s="20" t="s">
        <v>105</v>
      </c>
      <c r="G20" s="60">
        <v>1300</v>
      </c>
      <c r="H20" s="20">
        <v>19</v>
      </c>
      <c r="I20" s="20" t="s">
        <v>17</v>
      </c>
      <c r="J20" s="20">
        <v>2</v>
      </c>
      <c r="K20" s="34">
        <v>45068</v>
      </c>
      <c r="L20" s="20"/>
      <c r="M20" s="20" t="s">
        <v>22</v>
      </c>
    </row>
    <row r="21" spans="1:108" s="19" customFormat="1" ht="86.25" customHeight="1">
      <c r="A21" s="25" t="s">
        <v>13</v>
      </c>
      <c r="B21" s="20"/>
      <c r="C21" s="20" t="s">
        <v>311</v>
      </c>
      <c r="D21" s="20" t="s">
        <v>306</v>
      </c>
      <c r="E21" s="20">
        <v>1</v>
      </c>
      <c r="F21" s="20" t="s">
        <v>21</v>
      </c>
      <c r="G21" s="60">
        <v>1300</v>
      </c>
      <c r="H21" s="20">
        <v>4</v>
      </c>
      <c r="I21" s="20" t="s">
        <v>17</v>
      </c>
      <c r="J21" s="20">
        <v>2</v>
      </c>
      <c r="K21" s="34"/>
      <c r="L21" s="20"/>
      <c r="M21" s="20" t="s">
        <v>22</v>
      </c>
    </row>
    <row r="22" spans="1:108" s="19" customFormat="1" ht="97.5" customHeight="1">
      <c r="A22" s="25" t="s">
        <v>13</v>
      </c>
      <c r="B22" s="20"/>
      <c r="C22" s="20" t="s">
        <v>311</v>
      </c>
      <c r="D22" s="20" t="s">
        <v>312</v>
      </c>
      <c r="E22" s="20">
        <v>1</v>
      </c>
      <c r="F22" s="20" t="s">
        <v>21</v>
      </c>
      <c r="G22" s="60">
        <v>1300</v>
      </c>
      <c r="H22" s="20" t="s">
        <v>147</v>
      </c>
      <c r="I22" s="20" t="s">
        <v>17</v>
      </c>
      <c r="J22" s="20">
        <v>2</v>
      </c>
      <c r="K22" s="34"/>
      <c r="L22" s="20"/>
      <c r="M22" s="20" t="s">
        <v>22</v>
      </c>
    </row>
    <row r="23" spans="1:108" s="19" customFormat="1" ht="105">
      <c r="A23" s="20" t="s">
        <v>73</v>
      </c>
      <c r="B23" s="20"/>
      <c r="C23" s="20" t="s">
        <v>313</v>
      </c>
      <c r="D23" s="34" t="s">
        <v>314</v>
      </c>
      <c r="E23" s="20">
        <v>1</v>
      </c>
      <c r="F23" s="20" t="s">
        <v>76</v>
      </c>
      <c r="G23" s="60">
        <v>600</v>
      </c>
      <c r="H23" s="20">
        <v>5</v>
      </c>
      <c r="I23" s="20" t="s">
        <v>77</v>
      </c>
      <c r="J23" s="20"/>
      <c r="K23" s="20"/>
      <c r="L23" s="20"/>
      <c r="M23" s="20" t="s">
        <v>78</v>
      </c>
    </row>
    <row r="24" spans="1:108" s="19" customFormat="1" ht="89.25" customHeight="1">
      <c r="A24" s="25" t="s">
        <v>13</v>
      </c>
      <c r="B24" s="20" t="s">
        <v>66</v>
      </c>
      <c r="C24" s="20" t="s">
        <v>315</v>
      </c>
      <c r="D24" s="20" t="s">
        <v>316</v>
      </c>
      <c r="E24" s="20">
        <v>4</v>
      </c>
      <c r="F24" s="20" t="s">
        <v>72</v>
      </c>
      <c r="G24" s="60">
        <v>3800</v>
      </c>
      <c r="H24" s="20">
        <v>4</v>
      </c>
      <c r="I24" s="20" t="s">
        <v>17</v>
      </c>
      <c r="J24" s="20">
        <v>2</v>
      </c>
      <c r="K24" s="34"/>
      <c r="L24" s="20"/>
      <c r="M24" s="20" t="s">
        <v>18</v>
      </c>
    </row>
    <row r="25" spans="1:108" s="19" customFormat="1" ht="84" customHeight="1">
      <c r="A25" s="25" t="s">
        <v>13</v>
      </c>
      <c r="B25" s="20" t="s">
        <v>66</v>
      </c>
      <c r="C25" s="20" t="s">
        <v>317</v>
      </c>
      <c r="D25" s="20" t="s">
        <v>318</v>
      </c>
      <c r="E25" s="20">
        <v>1</v>
      </c>
      <c r="F25" s="20" t="s">
        <v>16</v>
      </c>
      <c r="G25" s="60">
        <v>950</v>
      </c>
      <c r="H25" s="20">
        <v>4</v>
      </c>
      <c r="I25" s="20" t="s">
        <v>17</v>
      </c>
      <c r="J25" s="20">
        <v>2</v>
      </c>
      <c r="K25" s="34"/>
      <c r="L25" s="20"/>
      <c r="M25" s="20" t="s">
        <v>18</v>
      </c>
    </row>
    <row r="26" spans="1:108" s="19" customFormat="1" ht="102" customHeight="1">
      <c r="A26" s="25" t="s">
        <v>13</v>
      </c>
      <c r="B26" s="20" t="s">
        <v>66</v>
      </c>
      <c r="C26" s="20" t="s">
        <v>319</v>
      </c>
      <c r="D26" s="20" t="s">
        <v>320</v>
      </c>
      <c r="E26" s="20">
        <v>1</v>
      </c>
      <c r="F26" s="20" t="s">
        <v>25</v>
      </c>
      <c r="G26" s="60">
        <v>950</v>
      </c>
      <c r="H26" s="20">
        <v>4</v>
      </c>
      <c r="I26" s="20" t="s">
        <v>17</v>
      </c>
      <c r="J26" s="20">
        <v>2</v>
      </c>
      <c r="K26" s="34">
        <v>44568</v>
      </c>
      <c r="L26" s="20"/>
      <c r="M26" s="20" t="s">
        <v>22</v>
      </c>
    </row>
    <row r="27" spans="1:108" s="19" customFormat="1" ht="80.25" customHeight="1">
      <c r="A27" s="25" t="s">
        <v>13</v>
      </c>
      <c r="B27" s="79" t="s">
        <v>110</v>
      </c>
      <c r="C27" s="20" t="s">
        <v>321</v>
      </c>
      <c r="D27" s="20" t="s">
        <v>289</v>
      </c>
      <c r="E27" s="20">
        <v>1</v>
      </c>
      <c r="F27" s="20" t="s">
        <v>113</v>
      </c>
      <c r="G27" s="60">
        <v>1300</v>
      </c>
      <c r="H27" s="20">
        <v>30</v>
      </c>
      <c r="I27" s="20" t="s">
        <v>17</v>
      </c>
      <c r="J27" s="20">
        <v>2</v>
      </c>
      <c r="K27" s="34">
        <v>45064</v>
      </c>
      <c r="L27" s="20"/>
      <c r="M27" s="20" t="s">
        <v>33</v>
      </c>
    </row>
    <row r="28" spans="1:108" s="19" customFormat="1" ht="93.75" customHeight="1">
      <c r="A28" s="25" t="s">
        <v>13</v>
      </c>
      <c r="B28" s="79" t="s">
        <v>114</v>
      </c>
      <c r="C28" s="20" t="s">
        <v>322</v>
      </c>
      <c r="D28" s="20" t="s">
        <v>323</v>
      </c>
      <c r="E28" s="20">
        <v>1</v>
      </c>
      <c r="F28" s="20" t="s">
        <v>117</v>
      </c>
      <c r="G28" s="60">
        <v>950</v>
      </c>
      <c r="H28" s="20">
        <v>30</v>
      </c>
      <c r="I28" s="20" t="s">
        <v>17</v>
      </c>
      <c r="J28" s="20">
        <v>2</v>
      </c>
      <c r="K28" s="34">
        <v>45040</v>
      </c>
      <c r="L28" s="20"/>
      <c r="M28" s="20" t="s">
        <v>33</v>
      </c>
    </row>
  </sheetData>
  <autoFilter ref="A1:DD28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0"/>
  <dimension ref="A1:DD31"/>
  <sheetViews>
    <sheetView workbookViewId="0">
      <selection activeCell="B3" sqref="B3"/>
    </sheetView>
  </sheetViews>
  <sheetFormatPr defaultColWidth="9" defaultRowHeight="15"/>
  <cols>
    <col min="1" max="1" width="21.28515625" customWidth="1"/>
    <col min="2" max="2" width="17.140625" customWidth="1"/>
    <col min="3" max="4" width="14.5703125" customWidth="1"/>
    <col min="5" max="5" width="10.85546875" customWidth="1"/>
    <col min="6" max="6" width="24.42578125" customWidth="1"/>
    <col min="7" max="7" width="12.28515625" customWidth="1"/>
    <col min="9" max="9" width="15.140625" customWidth="1"/>
    <col min="10" max="10" width="12.85546875" customWidth="1"/>
    <col min="11" max="11" width="10.85546875" customWidth="1"/>
    <col min="13" max="13" width="58.140625" customWidth="1"/>
  </cols>
  <sheetData>
    <row r="1" spans="1:108" s="58" customFormat="1" ht="70.5" customHeight="1">
      <c r="A1" s="5" t="s">
        <v>0</v>
      </c>
      <c r="B1" s="7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</row>
    <row r="2" spans="1:108" s="20" customFormat="1" ht="115.5" customHeight="1">
      <c r="A2" s="25" t="s">
        <v>13</v>
      </c>
      <c r="B2" s="20" t="s">
        <v>324</v>
      </c>
      <c r="C2" s="20" t="s">
        <v>325</v>
      </c>
      <c r="D2" s="20" t="s">
        <v>326</v>
      </c>
      <c r="E2" s="20">
        <v>1</v>
      </c>
      <c r="F2" s="20" t="s">
        <v>327</v>
      </c>
      <c r="G2" s="60">
        <v>950</v>
      </c>
      <c r="I2" s="20" t="s">
        <v>17</v>
      </c>
      <c r="J2" s="20">
        <v>2</v>
      </c>
      <c r="K2" s="34"/>
      <c r="M2" s="20" t="s">
        <v>22</v>
      </c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  <c r="CY2" s="71"/>
      <c r="CZ2" s="71"/>
      <c r="DA2" s="71"/>
      <c r="DB2" s="71"/>
      <c r="DC2" s="71"/>
      <c r="DD2" s="76"/>
    </row>
    <row r="3" spans="1:108" s="20" customFormat="1" ht="115.5" customHeight="1">
      <c r="A3" s="25" t="s">
        <v>13</v>
      </c>
      <c r="B3" s="20" t="s">
        <v>328</v>
      </c>
      <c r="C3" s="20" t="s">
        <v>329</v>
      </c>
      <c r="D3" s="20" t="s">
        <v>330</v>
      </c>
      <c r="E3" s="20">
        <v>1</v>
      </c>
      <c r="F3" s="20" t="s">
        <v>331</v>
      </c>
      <c r="G3" s="60">
        <v>950</v>
      </c>
      <c r="I3" s="20" t="s">
        <v>17</v>
      </c>
      <c r="J3" s="20">
        <v>2</v>
      </c>
      <c r="K3" s="34"/>
      <c r="M3" s="20" t="s">
        <v>22</v>
      </c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1"/>
      <c r="CZ3" s="71"/>
      <c r="DA3" s="71"/>
      <c r="DB3" s="71"/>
      <c r="DC3" s="71"/>
      <c r="DD3" s="76"/>
    </row>
    <row r="4" spans="1:108" s="20" customFormat="1" ht="115.5" customHeight="1">
      <c r="A4" s="25" t="s">
        <v>13</v>
      </c>
      <c r="B4" s="20" t="s">
        <v>276</v>
      </c>
      <c r="C4" s="20" t="s">
        <v>332</v>
      </c>
      <c r="D4" s="20" t="s">
        <v>333</v>
      </c>
      <c r="E4" s="20">
        <v>4</v>
      </c>
      <c r="F4" s="20" t="s">
        <v>279</v>
      </c>
      <c r="G4" s="60">
        <v>3800</v>
      </c>
      <c r="I4" s="20" t="s">
        <v>17</v>
      </c>
      <c r="J4" s="20">
        <v>2</v>
      </c>
      <c r="K4" s="34"/>
      <c r="M4" s="20" t="s">
        <v>22</v>
      </c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71"/>
      <c r="CN4" s="71"/>
      <c r="CO4" s="71"/>
      <c r="CP4" s="71"/>
      <c r="CQ4" s="71"/>
      <c r="CR4" s="71"/>
      <c r="CS4" s="71"/>
      <c r="CT4" s="71"/>
      <c r="CU4" s="71"/>
      <c r="CV4" s="71"/>
      <c r="CW4" s="71"/>
      <c r="CX4" s="71"/>
      <c r="CY4" s="71"/>
      <c r="CZ4" s="71"/>
      <c r="DA4" s="71"/>
      <c r="DB4" s="71"/>
      <c r="DC4" s="71"/>
      <c r="DD4" s="76"/>
    </row>
    <row r="5" spans="1:108" s="19" customFormat="1" ht="100.5" customHeight="1">
      <c r="A5" s="25" t="s">
        <v>13</v>
      </c>
      <c r="B5" s="20" t="s">
        <v>280</v>
      </c>
      <c r="C5" s="20" t="s">
        <v>334</v>
      </c>
      <c r="D5" s="20" t="s">
        <v>335</v>
      </c>
      <c r="E5" s="20">
        <v>1</v>
      </c>
      <c r="F5" s="20" t="s">
        <v>180</v>
      </c>
      <c r="G5" s="60">
        <v>950</v>
      </c>
      <c r="H5" s="20">
        <v>16</v>
      </c>
      <c r="I5" s="20" t="s">
        <v>17</v>
      </c>
      <c r="J5" s="20">
        <v>2</v>
      </c>
      <c r="K5" s="34">
        <v>45188</v>
      </c>
      <c r="L5" s="20"/>
      <c r="M5" s="20" t="s">
        <v>22</v>
      </c>
    </row>
    <row r="6" spans="1:108" s="20" customFormat="1" ht="115.5" customHeight="1">
      <c r="A6" s="25" t="s">
        <v>13</v>
      </c>
      <c r="B6" s="20" t="s">
        <v>283</v>
      </c>
      <c r="C6" s="20" t="s">
        <v>336</v>
      </c>
      <c r="D6" s="20" t="s">
        <v>337</v>
      </c>
      <c r="E6" s="20">
        <v>1</v>
      </c>
      <c r="F6" s="20" t="s">
        <v>286</v>
      </c>
      <c r="G6" s="60">
        <v>950</v>
      </c>
      <c r="I6" s="20" t="s">
        <v>17</v>
      </c>
      <c r="J6" s="20">
        <v>2</v>
      </c>
      <c r="K6" s="34"/>
      <c r="M6" s="20" t="s">
        <v>22</v>
      </c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  <c r="CY6" s="71"/>
      <c r="CZ6" s="71"/>
      <c r="DA6" s="71"/>
      <c r="DB6" s="71"/>
      <c r="DC6" s="71"/>
      <c r="DD6" s="76"/>
    </row>
    <row r="7" spans="1:108" s="20" customFormat="1" ht="115.5" customHeight="1">
      <c r="A7" s="25" t="s">
        <v>13</v>
      </c>
      <c r="B7" s="20" t="s">
        <v>216</v>
      </c>
      <c r="C7" s="20" t="s">
        <v>338</v>
      </c>
      <c r="D7" s="20" t="s">
        <v>339</v>
      </c>
      <c r="E7" s="20">
        <v>2</v>
      </c>
      <c r="F7" s="20" t="s">
        <v>219</v>
      </c>
      <c r="G7" s="60">
        <v>1960</v>
      </c>
      <c r="I7" s="20" t="s">
        <v>17</v>
      </c>
      <c r="J7" s="20">
        <v>2</v>
      </c>
      <c r="K7" s="34"/>
      <c r="M7" s="20" t="s">
        <v>22</v>
      </c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1"/>
      <c r="DA7" s="71"/>
      <c r="DB7" s="71"/>
      <c r="DC7" s="71"/>
      <c r="DD7" s="76"/>
    </row>
    <row r="8" spans="1:108" s="20" customFormat="1" ht="115.5" customHeight="1">
      <c r="A8" s="25" t="s">
        <v>13</v>
      </c>
      <c r="B8" s="20" t="s">
        <v>227</v>
      </c>
      <c r="C8" s="20" t="s">
        <v>340</v>
      </c>
      <c r="D8" s="20" t="s">
        <v>341</v>
      </c>
      <c r="E8" s="20">
        <v>1</v>
      </c>
      <c r="F8" s="20" t="s">
        <v>229</v>
      </c>
      <c r="G8" s="60">
        <v>950</v>
      </c>
      <c r="I8" s="20" t="s">
        <v>17</v>
      </c>
      <c r="J8" s="20">
        <v>2</v>
      </c>
      <c r="K8" s="34"/>
      <c r="M8" s="20" t="s">
        <v>22</v>
      </c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1"/>
      <c r="DA8" s="71"/>
      <c r="DB8" s="71"/>
      <c r="DC8" s="71"/>
      <c r="DD8" s="76"/>
    </row>
    <row r="9" spans="1:108" s="20" customFormat="1" ht="115.5" customHeight="1">
      <c r="A9" s="25" t="s">
        <v>13</v>
      </c>
      <c r="B9" s="20" t="s">
        <v>234</v>
      </c>
      <c r="C9" s="20" t="s">
        <v>342</v>
      </c>
      <c r="D9" s="20" t="s">
        <v>343</v>
      </c>
      <c r="E9" s="20">
        <v>1</v>
      </c>
      <c r="F9" s="20" t="s">
        <v>237</v>
      </c>
      <c r="G9" s="60">
        <v>1300</v>
      </c>
      <c r="I9" s="20" t="s">
        <v>17</v>
      </c>
      <c r="J9" s="20">
        <v>2</v>
      </c>
      <c r="K9" s="34"/>
      <c r="M9" s="20" t="s">
        <v>22</v>
      </c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71"/>
      <c r="DA9" s="71"/>
      <c r="DB9" s="71"/>
      <c r="DC9" s="71"/>
      <c r="DD9" s="76"/>
    </row>
    <row r="10" spans="1:108" s="20" customFormat="1" ht="115.5" customHeight="1">
      <c r="A10" s="25" t="s">
        <v>13</v>
      </c>
      <c r="B10" s="20" t="s">
        <v>238</v>
      </c>
      <c r="C10" s="20" t="s">
        <v>344</v>
      </c>
      <c r="D10" s="20" t="s">
        <v>345</v>
      </c>
      <c r="E10" s="20">
        <v>1</v>
      </c>
      <c r="F10" s="20" t="s">
        <v>241</v>
      </c>
      <c r="G10" s="60">
        <v>1300</v>
      </c>
      <c r="I10" s="20" t="s">
        <v>17</v>
      </c>
      <c r="J10" s="20">
        <v>2</v>
      </c>
      <c r="K10" s="34"/>
      <c r="M10" s="20" t="s">
        <v>22</v>
      </c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6"/>
    </row>
    <row r="11" spans="1:108" s="20" customFormat="1" ht="115.5" customHeight="1">
      <c r="A11" s="25" t="s">
        <v>13</v>
      </c>
      <c r="B11" s="20" t="s">
        <v>238</v>
      </c>
      <c r="C11" s="20" t="s">
        <v>346</v>
      </c>
      <c r="D11" s="20" t="s">
        <v>345</v>
      </c>
      <c r="E11" s="20">
        <v>1</v>
      </c>
      <c r="F11" s="20" t="s">
        <v>243</v>
      </c>
      <c r="G11" s="60">
        <v>1300</v>
      </c>
      <c r="I11" s="20" t="s">
        <v>17</v>
      </c>
      <c r="J11" s="20">
        <v>2</v>
      </c>
      <c r="K11" s="34"/>
      <c r="M11" s="20" t="s">
        <v>22</v>
      </c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  <c r="CT11" s="71"/>
      <c r="CU11" s="71"/>
      <c r="CV11" s="71"/>
      <c r="CW11" s="71"/>
      <c r="CX11" s="71"/>
      <c r="CY11" s="71"/>
      <c r="CZ11" s="71"/>
      <c r="DA11" s="71"/>
      <c r="DB11" s="71"/>
      <c r="DC11" s="71"/>
      <c r="DD11" s="76"/>
    </row>
    <row r="12" spans="1:108" s="20" customFormat="1" ht="115.5" customHeight="1">
      <c r="A12" s="25" t="s">
        <v>13</v>
      </c>
      <c r="B12" s="20" t="s">
        <v>238</v>
      </c>
      <c r="C12" s="20" t="s">
        <v>347</v>
      </c>
      <c r="D12" s="20" t="s">
        <v>345</v>
      </c>
      <c r="E12" s="20">
        <v>1</v>
      </c>
      <c r="F12" s="20" t="s">
        <v>245</v>
      </c>
      <c r="G12" s="60">
        <v>1300</v>
      </c>
      <c r="I12" s="20" t="s">
        <v>17</v>
      </c>
      <c r="J12" s="20">
        <v>2</v>
      </c>
      <c r="K12" s="34"/>
      <c r="M12" s="20" t="s">
        <v>22</v>
      </c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/>
      <c r="CT12" s="71"/>
      <c r="CU12" s="71"/>
      <c r="CV12" s="71"/>
      <c r="CW12" s="71"/>
      <c r="CX12" s="71"/>
      <c r="CY12" s="71"/>
      <c r="CZ12" s="71"/>
      <c r="DA12" s="71"/>
      <c r="DB12" s="71"/>
      <c r="DC12" s="71"/>
      <c r="DD12" s="76"/>
    </row>
    <row r="13" spans="1:108" s="19" customFormat="1" ht="108.75" customHeight="1">
      <c r="A13" s="25" t="s">
        <v>13</v>
      </c>
      <c r="B13" s="20"/>
      <c r="C13" s="20" t="s">
        <v>348</v>
      </c>
      <c r="D13" s="20" t="s">
        <v>349</v>
      </c>
      <c r="E13" s="20">
        <v>1</v>
      </c>
      <c r="F13" s="20" t="s">
        <v>171</v>
      </c>
      <c r="G13" s="60">
        <v>1300</v>
      </c>
      <c r="H13" s="20">
        <v>16</v>
      </c>
      <c r="I13" s="20" t="s">
        <v>17</v>
      </c>
      <c r="J13" s="20">
        <v>2</v>
      </c>
      <c r="K13" s="34">
        <v>45134</v>
      </c>
      <c r="L13" s="20"/>
      <c r="M13" s="20" t="s">
        <v>172</v>
      </c>
    </row>
    <row r="14" spans="1:108" s="19" customFormat="1" ht="85.5" customHeight="1">
      <c r="A14" s="25" t="s">
        <v>13</v>
      </c>
      <c r="B14" s="20"/>
      <c r="C14" s="20" t="s">
        <v>350</v>
      </c>
      <c r="D14" s="20" t="s">
        <v>351</v>
      </c>
      <c r="E14" s="20">
        <v>1</v>
      </c>
      <c r="F14" s="20" t="s">
        <v>175</v>
      </c>
      <c r="G14" s="60">
        <v>950</v>
      </c>
      <c r="H14" s="20">
        <v>16</v>
      </c>
      <c r="I14" s="20" t="s">
        <v>17</v>
      </c>
      <c r="J14" s="20">
        <v>2</v>
      </c>
      <c r="K14" s="34">
        <v>45134</v>
      </c>
      <c r="L14" s="20"/>
      <c r="M14" s="20" t="s">
        <v>22</v>
      </c>
    </row>
    <row r="15" spans="1:108" s="19" customFormat="1" ht="92.25" customHeight="1">
      <c r="A15" s="25" t="s">
        <v>13</v>
      </c>
      <c r="B15" s="20"/>
      <c r="C15" s="20" t="s">
        <v>352</v>
      </c>
      <c r="D15" s="20" t="s">
        <v>353</v>
      </c>
      <c r="E15" s="20">
        <v>1</v>
      </c>
      <c r="F15" s="20" t="s">
        <v>178</v>
      </c>
      <c r="G15" s="60">
        <v>950</v>
      </c>
      <c r="H15" s="20">
        <v>16</v>
      </c>
      <c r="I15" s="20" t="s">
        <v>17</v>
      </c>
      <c r="J15" s="20">
        <v>2</v>
      </c>
      <c r="K15" s="34">
        <v>45131</v>
      </c>
      <c r="L15" s="20"/>
      <c r="M15" s="20" t="s">
        <v>22</v>
      </c>
    </row>
    <row r="16" spans="1:108" s="19" customFormat="1" ht="100.5" customHeight="1">
      <c r="A16" s="25" t="s">
        <v>13</v>
      </c>
      <c r="B16" s="20"/>
      <c r="C16" s="20" t="s">
        <v>354</v>
      </c>
      <c r="D16" s="20" t="s">
        <v>353</v>
      </c>
      <c r="E16" s="20">
        <v>1</v>
      </c>
      <c r="F16" s="20" t="s">
        <v>180</v>
      </c>
      <c r="G16" s="60">
        <v>950</v>
      </c>
      <c r="H16" s="20">
        <v>16</v>
      </c>
      <c r="I16" s="20" t="s">
        <v>17</v>
      </c>
      <c r="J16" s="20">
        <v>2</v>
      </c>
      <c r="K16" s="34">
        <v>45131</v>
      </c>
      <c r="L16" s="20"/>
      <c r="M16" s="20" t="s">
        <v>22</v>
      </c>
    </row>
    <row r="17" spans="1:108" s="19" customFormat="1" ht="106.5" customHeight="1">
      <c r="A17" s="25" t="s">
        <v>13</v>
      </c>
      <c r="B17" s="20" t="s">
        <v>138</v>
      </c>
      <c r="C17" s="20" t="s">
        <v>355</v>
      </c>
      <c r="D17" s="20" t="s">
        <v>356</v>
      </c>
      <c r="E17" s="20">
        <v>1</v>
      </c>
      <c r="F17" s="20" t="s">
        <v>140</v>
      </c>
      <c r="G17" s="60">
        <v>950</v>
      </c>
      <c r="H17" s="20">
        <v>4</v>
      </c>
      <c r="I17" s="20" t="s">
        <v>17</v>
      </c>
      <c r="J17" s="20">
        <v>2</v>
      </c>
      <c r="K17" s="34"/>
      <c r="L17" s="20"/>
      <c r="M17" s="20" t="s">
        <v>22</v>
      </c>
    </row>
    <row r="18" spans="1:108" s="19" customFormat="1" ht="111" customHeight="1">
      <c r="A18" s="25" t="s">
        <v>13</v>
      </c>
      <c r="B18" s="20"/>
      <c r="C18" s="20" t="s">
        <v>357</v>
      </c>
      <c r="D18" s="20" t="s">
        <v>358</v>
      </c>
      <c r="E18" s="20">
        <v>1</v>
      </c>
      <c r="F18" s="20" t="s">
        <v>143</v>
      </c>
      <c r="G18" s="60">
        <v>1300</v>
      </c>
      <c r="H18" s="20">
        <v>4</v>
      </c>
      <c r="I18" s="20" t="s">
        <v>17</v>
      </c>
      <c r="J18" s="20">
        <v>2</v>
      </c>
      <c r="K18" s="34"/>
      <c r="L18" s="20"/>
      <c r="M18" s="20" t="s">
        <v>22</v>
      </c>
    </row>
    <row r="19" spans="1:108" s="20" customFormat="1" ht="115.5" customHeight="1">
      <c r="A19" s="25" t="s">
        <v>13</v>
      </c>
      <c r="B19" s="20" t="s">
        <v>307</v>
      </c>
      <c r="C19" s="20" t="s">
        <v>357</v>
      </c>
      <c r="D19" s="20" t="s">
        <v>359</v>
      </c>
      <c r="E19" s="20">
        <v>2</v>
      </c>
      <c r="F19" s="20" t="s">
        <v>309</v>
      </c>
      <c r="G19" s="60">
        <v>1300</v>
      </c>
      <c r="I19" s="20" t="s">
        <v>17</v>
      </c>
      <c r="J19" s="20">
        <v>2</v>
      </c>
      <c r="K19" s="34"/>
      <c r="M19" s="20" t="s">
        <v>22</v>
      </c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1"/>
      <c r="DA19" s="71"/>
      <c r="DB19" s="71"/>
      <c r="DC19" s="71"/>
      <c r="DD19" s="76"/>
    </row>
    <row r="20" spans="1:108" s="19" customFormat="1" ht="86.25" customHeight="1">
      <c r="A20" s="25" t="s">
        <v>13</v>
      </c>
      <c r="B20" s="20"/>
      <c r="C20" s="20" t="s">
        <v>360</v>
      </c>
      <c r="D20" s="20" t="s">
        <v>358</v>
      </c>
      <c r="E20" s="20">
        <v>1</v>
      </c>
      <c r="F20" s="20" t="s">
        <v>21</v>
      </c>
      <c r="G20" s="60">
        <v>1300</v>
      </c>
      <c r="H20" s="20">
        <v>4</v>
      </c>
      <c r="I20" s="20" t="s">
        <v>17</v>
      </c>
      <c r="J20" s="20">
        <v>2</v>
      </c>
      <c r="K20" s="34"/>
      <c r="L20" s="20"/>
      <c r="M20" s="20" t="s">
        <v>22</v>
      </c>
    </row>
    <row r="21" spans="1:108" s="19" customFormat="1" ht="97.5" customHeight="1">
      <c r="A21" s="25" t="s">
        <v>13</v>
      </c>
      <c r="B21" s="20"/>
      <c r="C21" s="20" t="s">
        <v>360</v>
      </c>
      <c r="D21" s="20" t="s">
        <v>361</v>
      </c>
      <c r="E21" s="20">
        <v>1</v>
      </c>
      <c r="F21" s="20" t="s">
        <v>21</v>
      </c>
      <c r="G21" s="60">
        <v>1300</v>
      </c>
      <c r="H21" s="20" t="s">
        <v>147</v>
      </c>
      <c r="I21" s="20" t="s">
        <v>17</v>
      </c>
      <c r="J21" s="20">
        <v>2</v>
      </c>
      <c r="K21" s="34"/>
      <c r="L21" s="20"/>
      <c r="M21" s="20" t="s">
        <v>22</v>
      </c>
    </row>
    <row r="22" spans="1:108" s="19" customFormat="1" ht="105">
      <c r="A22" s="20" t="s">
        <v>73</v>
      </c>
      <c r="B22" s="20"/>
      <c r="C22" s="20" t="s">
        <v>362</v>
      </c>
      <c r="D22" s="34" t="s">
        <v>363</v>
      </c>
      <c r="E22" s="20">
        <v>1</v>
      </c>
      <c r="F22" s="20" t="s">
        <v>76</v>
      </c>
      <c r="G22" s="60">
        <v>600</v>
      </c>
      <c r="H22" s="20">
        <v>5</v>
      </c>
      <c r="I22" s="20" t="s">
        <v>77</v>
      </c>
      <c r="J22" s="20"/>
      <c r="K22" s="20"/>
      <c r="L22" s="20"/>
      <c r="M22" s="20" t="s">
        <v>78</v>
      </c>
    </row>
    <row r="23" spans="1:108" s="19" customFormat="1" ht="89.25" customHeight="1">
      <c r="A23" s="25" t="s">
        <v>13</v>
      </c>
      <c r="B23" s="20" t="s">
        <v>66</v>
      </c>
      <c r="C23" s="20" t="s">
        <v>364</v>
      </c>
      <c r="D23" s="20" t="s">
        <v>365</v>
      </c>
      <c r="E23" s="20">
        <v>4</v>
      </c>
      <c r="F23" s="20" t="s">
        <v>72</v>
      </c>
      <c r="G23" s="60">
        <v>3800</v>
      </c>
      <c r="H23" s="20">
        <v>4</v>
      </c>
      <c r="I23" s="20" t="s">
        <v>17</v>
      </c>
      <c r="J23" s="20">
        <v>2</v>
      </c>
      <c r="K23" s="34"/>
      <c r="L23" s="20"/>
      <c r="M23" s="20" t="s">
        <v>18</v>
      </c>
    </row>
    <row r="24" spans="1:108" s="19" customFormat="1" ht="84" customHeight="1">
      <c r="A24" s="25" t="s">
        <v>13</v>
      </c>
      <c r="B24" s="20" t="s">
        <v>66</v>
      </c>
      <c r="C24" s="20" t="s">
        <v>366</v>
      </c>
      <c r="D24" s="20" t="s">
        <v>367</v>
      </c>
      <c r="E24" s="20">
        <v>1</v>
      </c>
      <c r="F24" s="20" t="s">
        <v>16</v>
      </c>
      <c r="G24" s="60">
        <v>950</v>
      </c>
      <c r="H24" s="20">
        <v>4</v>
      </c>
      <c r="I24" s="20" t="s">
        <v>17</v>
      </c>
      <c r="J24" s="20">
        <v>2</v>
      </c>
      <c r="K24" s="34"/>
      <c r="L24" s="20"/>
      <c r="M24" s="20" t="s">
        <v>18</v>
      </c>
    </row>
    <row r="25" spans="1:108" s="19" customFormat="1" ht="102" customHeight="1">
      <c r="A25" s="25" t="s">
        <v>13</v>
      </c>
      <c r="B25" s="20" t="s">
        <v>66</v>
      </c>
      <c r="C25" s="20" t="s">
        <v>368</v>
      </c>
      <c r="D25" s="20" t="s">
        <v>369</v>
      </c>
      <c r="E25" s="20">
        <v>1</v>
      </c>
      <c r="F25" s="20" t="s">
        <v>25</v>
      </c>
      <c r="G25" s="60">
        <v>950</v>
      </c>
      <c r="H25" s="20">
        <v>4</v>
      </c>
      <c r="I25" s="20" t="s">
        <v>17</v>
      </c>
      <c r="J25" s="20">
        <v>2</v>
      </c>
      <c r="K25" s="34">
        <v>44568</v>
      </c>
      <c r="L25" s="20"/>
      <c r="M25" s="20" t="s">
        <v>22</v>
      </c>
    </row>
    <row r="26" spans="1:108" s="19" customFormat="1" ht="80.25" customHeight="1">
      <c r="A26" s="25" t="s">
        <v>13</v>
      </c>
      <c r="B26" s="79" t="s">
        <v>110</v>
      </c>
      <c r="C26" s="20" t="s">
        <v>370</v>
      </c>
      <c r="D26" s="20" t="s">
        <v>341</v>
      </c>
      <c r="E26" s="20">
        <v>1</v>
      </c>
      <c r="F26" s="20" t="s">
        <v>113</v>
      </c>
      <c r="G26" s="60">
        <v>1300</v>
      </c>
      <c r="H26" s="20">
        <v>30</v>
      </c>
      <c r="I26" s="20" t="s">
        <v>17</v>
      </c>
      <c r="J26" s="20">
        <v>2</v>
      </c>
      <c r="K26" s="34">
        <v>45064</v>
      </c>
      <c r="L26" s="20"/>
      <c r="M26" s="20" t="s">
        <v>33</v>
      </c>
    </row>
    <row r="27" spans="1:108" s="19" customFormat="1" ht="93.75" customHeight="1">
      <c r="A27" s="25" t="s">
        <v>13</v>
      </c>
      <c r="B27" s="79" t="s">
        <v>114</v>
      </c>
      <c r="C27" s="20" t="s">
        <v>371</v>
      </c>
      <c r="D27" s="20" t="s">
        <v>372</v>
      </c>
      <c r="E27" s="20">
        <v>1</v>
      </c>
      <c r="F27" s="20" t="s">
        <v>117</v>
      </c>
      <c r="G27" s="60">
        <v>950</v>
      </c>
      <c r="H27" s="20">
        <v>30</v>
      </c>
      <c r="I27" s="20" t="s">
        <v>17</v>
      </c>
      <c r="J27" s="20">
        <v>2</v>
      </c>
      <c r="K27" s="34">
        <v>45040</v>
      </c>
      <c r="L27" s="20"/>
      <c r="M27" s="20" t="s">
        <v>33</v>
      </c>
    </row>
    <row r="28" spans="1:108" s="19" customFormat="1" ht="93.75" customHeight="1">
      <c r="A28" s="25" t="s">
        <v>13</v>
      </c>
      <c r="B28" s="79" t="s">
        <v>373</v>
      </c>
      <c r="C28" s="20" t="s">
        <v>374</v>
      </c>
      <c r="D28" s="20" t="s">
        <v>372</v>
      </c>
      <c r="E28" s="20">
        <v>1</v>
      </c>
      <c r="F28" s="20" t="s">
        <v>375</v>
      </c>
      <c r="G28" s="60">
        <v>1300</v>
      </c>
      <c r="H28" s="20">
        <v>30</v>
      </c>
      <c r="I28" s="20" t="s">
        <v>17</v>
      </c>
      <c r="J28" s="20">
        <v>2</v>
      </c>
      <c r="K28" s="34">
        <v>45229</v>
      </c>
      <c r="L28" s="20"/>
      <c r="M28" s="20" t="s">
        <v>33</v>
      </c>
    </row>
    <row r="29" spans="1:108" s="19" customFormat="1" ht="93.75" customHeight="1">
      <c r="A29" s="25" t="s">
        <v>13</v>
      </c>
      <c r="B29" s="79" t="s">
        <v>376</v>
      </c>
      <c r="C29" s="20" t="s">
        <v>377</v>
      </c>
      <c r="D29" s="20" t="s">
        <v>378</v>
      </c>
      <c r="E29" s="20">
        <v>1</v>
      </c>
      <c r="F29" s="20" t="s">
        <v>379</v>
      </c>
      <c r="G29" s="60">
        <v>1300</v>
      </c>
      <c r="H29" s="20">
        <v>30</v>
      </c>
      <c r="I29" s="20" t="s">
        <v>17</v>
      </c>
      <c r="J29" s="20">
        <v>2</v>
      </c>
      <c r="K29" s="34">
        <v>45218</v>
      </c>
      <c r="L29" s="20"/>
      <c r="M29" s="20" t="s">
        <v>33</v>
      </c>
    </row>
    <row r="30" spans="1:108">
      <c r="A30" s="1"/>
      <c r="B30" s="1"/>
      <c r="C30" s="1"/>
      <c r="D30" s="1"/>
      <c r="E30" s="1"/>
      <c r="F30" s="1"/>
      <c r="G30" s="94">
        <f>SUM(G2:G29)</f>
        <v>37160</v>
      </c>
      <c r="H30" s="1"/>
      <c r="I30" s="1"/>
      <c r="J30" s="1"/>
      <c r="K30" s="1"/>
      <c r="L30" s="1"/>
      <c r="M30" s="1"/>
    </row>
    <row r="31" spans="1:10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autoFilter ref="A1:DD30" xr:uid="{00000000-0009-0000-0000-000009000000}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1"/>
  <dimension ref="A1:DD39"/>
  <sheetViews>
    <sheetView workbookViewId="0">
      <selection activeCell="C3" sqref="C3"/>
    </sheetView>
  </sheetViews>
  <sheetFormatPr defaultColWidth="9" defaultRowHeight="15"/>
  <cols>
    <col min="1" max="1" width="21.28515625" customWidth="1"/>
    <col min="2" max="2" width="17.140625" customWidth="1"/>
    <col min="3" max="4" width="14.5703125" customWidth="1"/>
    <col min="5" max="5" width="10.85546875" customWidth="1"/>
    <col min="6" max="6" width="24.42578125" customWidth="1"/>
    <col min="7" max="7" width="12.28515625" customWidth="1"/>
    <col min="9" max="9" width="15.140625" customWidth="1"/>
    <col min="10" max="10" width="12.85546875" customWidth="1"/>
    <col min="11" max="11" width="10.85546875" customWidth="1"/>
    <col min="13" max="13" width="58.140625" customWidth="1"/>
  </cols>
  <sheetData>
    <row r="1" spans="1:108" s="58" customFormat="1" ht="70.5" customHeight="1">
      <c r="A1" s="5" t="s">
        <v>0</v>
      </c>
      <c r="B1" s="7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</row>
    <row r="2" spans="1:108" s="59" customFormat="1" ht="115.5" customHeight="1">
      <c r="A2" s="25" t="s">
        <v>13</v>
      </c>
      <c r="B2" s="78" t="s">
        <v>380</v>
      </c>
      <c r="C2" s="20" t="s">
        <v>381</v>
      </c>
      <c r="D2" s="20" t="s">
        <v>382</v>
      </c>
      <c r="E2" s="20">
        <v>1</v>
      </c>
      <c r="F2" s="20" t="s">
        <v>383</v>
      </c>
      <c r="G2" s="60">
        <v>950</v>
      </c>
      <c r="H2" s="20"/>
      <c r="I2" s="20" t="s">
        <v>17</v>
      </c>
      <c r="J2" s="20">
        <v>2</v>
      </c>
      <c r="K2" s="34">
        <v>45257</v>
      </c>
      <c r="L2" s="20"/>
      <c r="M2" s="20" t="s">
        <v>22</v>
      </c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7"/>
    </row>
    <row r="3" spans="1:108" s="59" customFormat="1" ht="115.5" customHeight="1">
      <c r="A3" s="25" t="s">
        <v>13</v>
      </c>
      <c r="B3" s="20" t="s">
        <v>384</v>
      </c>
      <c r="C3" s="20" t="s">
        <v>385</v>
      </c>
      <c r="D3" s="20" t="s">
        <v>386</v>
      </c>
      <c r="E3" s="20">
        <v>1</v>
      </c>
      <c r="F3" s="20" t="s">
        <v>383</v>
      </c>
      <c r="G3" s="60">
        <v>950</v>
      </c>
      <c r="H3" s="20"/>
      <c r="I3" s="20" t="s">
        <v>17</v>
      </c>
      <c r="J3" s="20">
        <v>2</v>
      </c>
      <c r="K3" s="34"/>
      <c r="L3" s="20"/>
      <c r="M3" s="20" t="s">
        <v>22</v>
      </c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74"/>
      <c r="BY3" s="74"/>
      <c r="BZ3" s="74"/>
      <c r="CA3" s="74"/>
      <c r="CB3" s="74"/>
      <c r="CC3" s="74"/>
      <c r="CD3" s="74"/>
      <c r="CE3" s="74"/>
      <c r="CF3" s="74"/>
      <c r="CG3" s="74"/>
      <c r="CH3" s="74"/>
      <c r="CI3" s="74"/>
      <c r="CJ3" s="74"/>
      <c r="CK3" s="74"/>
      <c r="CL3" s="74"/>
      <c r="CM3" s="74"/>
      <c r="CN3" s="74"/>
      <c r="CO3" s="74"/>
      <c r="CP3" s="74"/>
      <c r="CQ3" s="74"/>
      <c r="CR3" s="74"/>
      <c r="CS3" s="74"/>
      <c r="CT3" s="74"/>
      <c r="CU3" s="74"/>
      <c r="CV3" s="74"/>
      <c r="CW3" s="74"/>
      <c r="CX3" s="74"/>
      <c r="CY3" s="74"/>
      <c r="CZ3" s="74"/>
      <c r="DA3" s="74"/>
      <c r="DB3" s="74"/>
      <c r="DC3" s="74"/>
      <c r="DD3" s="77"/>
    </row>
    <row r="4" spans="1:108" s="59" customFormat="1" ht="115.5" customHeight="1">
      <c r="A4" s="25" t="s">
        <v>13</v>
      </c>
      <c r="B4" s="78" t="s">
        <v>387</v>
      </c>
      <c r="C4" s="20" t="s">
        <v>385</v>
      </c>
      <c r="D4" s="20" t="s">
        <v>386</v>
      </c>
      <c r="E4" s="20">
        <v>1</v>
      </c>
      <c r="F4" s="20" t="s">
        <v>388</v>
      </c>
      <c r="G4" s="60">
        <v>950</v>
      </c>
      <c r="H4" s="20"/>
      <c r="I4" s="20" t="s">
        <v>17</v>
      </c>
      <c r="J4" s="20">
        <v>2</v>
      </c>
      <c r="K4" s="34"/>
      <c r="L4" s="20"/>
      <c r="M4" s="20" t="s">
        <v>22</v>
      </c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BZ4" s="74"/>
      <c r="CA4" s="74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4"/>
      <c r="CM4" s="74"/>
      <c r="CN4" s="74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4"/>
      <c r="CZ4" s="74"/>
      <c r="DA4" s="74"/>
      <c r="DB4" s="74"/>
      <c r="DC4" s="74"/>
      <c r="DD4" s="77"/>
    </row>
    <row r="5" spans="1:108" s="59" customFormat="1" ht="115.5" customHeight="1">
      <c r="A5" s="25" t="s">
        <v>13</v>
      </c>
      <c r="B5" s="20"/>
      <c r="C5" s="20" t="s">
        <v>389</v>
      </c>
      <c r="D5" s="20" t="s">
        <v>390</v>
      </c>
      <c r="E5" s="20">
        <v>1</v>
      </c>
      <c r="F5" s="20" t="s">
        <v>391</v>
      </c>
      <c r="G5" s="60">
        <v>950</v>
      </c>
      <c r="H5" s="20"/>
      <c r="I5" s="20" t="s">
        <v>17</v>
      </c>
      <c r="J5" s="20">
        <v>2</v>
      </c>
      <c r="K5" s="34"/>
      <c r="L5" s="20"/>
      <c r="M5" s="20" t="s">
        <v>22</v>
      </c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  <c r="BS5" s="74"/>
      <c r="BT5" s="74"/>
      <c r="BU5" s="74"/>
      <c r="BV5" s="74"/>
      <c r="BW5" s="74"/>
      <c r="BX5" s="74"/>
      <c r="BY5" s="74"/>
      <c r="BZ5" s="74"/>
      <c r="CA5" s="74"/>
      <c r="CB5" s="74"/>
      <c r="CC5" s="74"/>
      <c r="CD5" s="74"/>
      <c r="CE5" s="74"/>
      <c r="CF5" s="74"/>
      <c r="CG5" s="74"/>
      <c r="CH5" s="74"/>
      <c r="CI5" s="74"/>
      <c r="CJ5" s="74"/>
      <c r="CK5" s="74"/>
      <c r="CL5" s="74"/>
      <c r="CM5" s="74"/>
      <c r="CN5" s="74"/>
      <c r="CO5" s="74"/>
      <c r="CP5" s="74"/>
      <c r="CQ5" s="74"/>
      <c r="CR5" s="74"/>
      <c r="CS5" s="74"/>
      <c r="CT5" s="74"/>
      <c r="CU5" s="74"/>
      <c r="CV5" s="74"/>
      <c r="CW5" s="74"/>
      <c r="CX5" s="74"/>
      <c r="CY5" s="74"/>
      <c r="CZ5" s="74"/>
      <c r="DA5" s="74"/>
      <c r="DB5" s="74"/>
      <c r="DC5" s="74"/>
      <c r="DD5" s="77"/>
    </row>
    <row r="6" spans="1:108" s="59" customFormat="1" ht="115.5" customHeight="1">
      <c r="A6" s="25" t="s">
        <v>13</v>
      </c>
      <c r="B6" s="78" t="s">
        <v>392</v>
      </c>
      <c r="C6" s="20" t="s">
        <v>393</v>
      </c>
      <c r="D6" s="20" t="s">
        <v>394</v>
      </c>
      <c r="E6" s="20">
        <v>2</v>
      </c>
      <c r="F6" s="20" t="s">
        <v>279</v>
      </c>
      <c r="G6" s="60">
        <v>1900</v>
      </c>
      <c r="H6" s="20">
        <v>22</v>
      </c>
      <c r="I6" s="20" t="s">
        <v>17</v>
      </c>
      <c r="J6" s="20">
        <v>2</v>
      </c>
      <c r="K6" s="34">
        <v>45254</v>
      </c>
      <c r="L6" s="20"/>
      <c r="M6" s="20" t="s">
        <v>22</v>
      </c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/>
      <c r="BR6" s="74"/>
      <c r="BS6" s="74"/>
      <c r="BT6" s="74"/>
      <c r="BU6" s="74"/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  <c r="DA6" s="74"/>
      <c r="DB6" s="74"/>
      <c r="DC6" s="74"/>
      <c r="DD6" s="77"/>
    </row>
    <row r="7" spans="1:108" s="20" customFormat="1" ht="115.5" customHeight="1">
      <c r="A7" s="25" t="s">
        <v>13</v>
      </c>
      <c r="B7" s="78" t="s">
        <v>395</v>
      </c>
      <c r="C7" s="20" t="s">
        <v>396</v>
      </c>
      <c r="D7" s="20" t="s">
        <v>397</v>
      </c>
      <c r="E7" s="20">
        <v>1</v>
      </c>
      <c r="F7" s="20" t="s">
        <v>398</v>
      </c>
      <c r="G7" s="60">
        <v>950</v>
      </c>
      <c r="H7" s="20">
        <v>26</v>
      </c>
      <c r="I7" s="20" t="s">
        <v>17</v>
      </c>
      <c r="J7" s="20">
        <v>2</v>
      </c>
      <c r="K7" s="34">
        <v>45258</v>
      </c>
      <c r="M7" s="20" t="s">
        <v>22</v>
      </c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1"/>
      <c r="DA7" s="71"/>
      <c r="DB7" s="71"/>
      <c r="DC7" s="71"/>
      <c r="DD7" s="76"/>
    </row>
    <row r="8" spans="1:108" s="20" customFormat="1" ht="115.5" customHeight="1">
      <c r="A8" s="25" t="s">
        <v>13</v>
      </c>
      <c r="B8" s="20" t="s">
        <v>324</v>
      </c>
      <c r="C8" s="20" t="s">
        <v>399</v>
      </c>
      <c r="D8" s="20" t="s">
        <v>382</v>
      </c>
      <c r="E8" s="20">
        <v>1</v>
      </c>
      <c r="F8" s="20" t="s">
        <v>327</v>
      </c>
      <c r="G8" s="60">
        <v>950</v>
      </c>
      <c r="I8" s="20" t="s">
        <v>17</v>
      </c>
      <c r="J8" s="20">
        <v>2</v>
      </c>
      <c r="K8" s="34"/>
      <c r="M8" s="20" t="s">
        <v>22</v>
      </c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1"/>
      <c r="DA8" s="71"/>
      <c r="DB8" s="71"/>
      <c r="DC8" s="71"/>
      <c r="DD8" s="76"/>
    </row>
    <row r="9" spans="1:108" s="20" customFormat="1" ht="115.5" customHeight="1">
      <c r="A9" s="25" t="s">
        <v>13</v>
      </c>
      <c r="B9" s="78" t="s">
        <v>400</v>
      </c>
      <c r="C9" s="20" t="s">
        <v>401</v>
      </c>
      <c r="D9" s="20" t="s">
        <v>386</v>
      </c>
      <c r="E9" s="20">
        <v>1</v>
      </c>
      <c r="F9" s="20" t="s">
        <v>331</v>
      </c>
      <c r="G9" s="60">
        <v>950</v>
      </c>
      <c r="I9" s="20" t="s">
        <v>17</v>
      </c>
      <c r="J9" s="20">
        <v>2</v>
      </c>
      <c r="K9" s="34"/>
      <c r="M9" s="20" t="s">
        <v>22</v>
      </c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71"/>
      <c r="DA9" s="71"/>
      <c r="DB9" s="71"/>
      <c r="DC9" s="71"/>
      <c r="DD9" s="76"/>
    </row>
    <row r="10" spans="1:108" s="20" customFormat="1" ht="115.5" customHeight="1">
      <c r="A10" s="25" t="s">
        <v>13</v>
      </c>
      <c r="B10" s="20" t="s">
        <v>276</v>
      </c>
      <c r="C10" s="20" t="s">
        <v>402</v>
      </c>
      <c r="D10" s="20" t="s">
        <v>403</v>
      </c>
      <c r="E10" s="20">
        <v>4</v>
      </c>
      <c r="F10" s="20" t="s">
        <v>279</v>
      </c>
      <c r="G10" s="60">
        <v>3800</v>
      </c>
      <c r="I10" s="20" t="s">
        <v>17</v>
      </c>
      <c r="J10" s="20">
        <v>2</v>
      </c>
      <c r="K10" s="34"/>
      <c r="M10" s="20" t="s">
        <v>22</v>
      </c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6"/>
    </row>
    <row r="11" spans="1:108" s="19" customFormat="1" ht="100.5" customHeight="1">
      <c r="A11" s="25" t="s">
        <v>13</v>
      </c>
      <c r="B11" s="20" t="s">
        <v>280</v>
      </c>
      <c r="C11" s="20" t="s">
        <v>404</v>
      </c>
      <c r="D11" s="20" t="s">
        <v>405</v>
      </c>
      <c r="E11" s="20">
        <v>1</v>
      </c>
      <c r="F11" s="20" t="s">
        <v>180</v>
      </c>
      <c r="G11" s="60">
        <v>950</v>
      </c>
      <c r="H11" s="20">
        <v>16</v>
      </c>
      <c r="I11" s="20" t="s">
        <v>17</v>
      </c>
      <c r="J11" s="20">
        <v>2</v>
      </c>
      <c r="K11" s="34">
        <v>45188</v>
      </c>
      <c r="L11" s="20"/>
      <c r="M11" s="20" t="s">
        <v>22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108" s="20" customFormat="1" ht="115.5" customHeight="1">
      <c r="A12" s="25" t="s">
        <v>13</v>
      </c>
      <c r="B12" s="78" t="s">
        <v>400</v>
      </c>
      <c r="C12" s="20" t="s">
        <v>406</v>
      </c>
      <c r="D12" s="20" t="s">
        <v>407</v>
      </c>
      <c r="E12" s="20">
        <v>1</v>
      </c>
      <c r="F12" s="20" t="s">
        <v>286</v>
      </c>
      <c r="G12" s="60">
        <v>950</v>
      </c>
      <c r="I12" s="20" t="s">
        <v>17</v>
      </c>
      <c r="J12" s="20">
        <v>2</v>
      </c>
      <c r="K12" s="34"/>
      <c r="M12" s="20" t="s">
        <v>22</v>
      </c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/>
      <c r="CT12" s="71"/>
      <c r="CU12" s="71"/>
      <c r="CV12" s="71"/>
      <c r="CW12" s="71"/>
      <c r="CX12" s="71"/>
      <c r="CY12" s="71"/>
      <c r="CZ12" s="71"/>
      <c r="DA12" s="71"/>
      <c r="DB12" s="71"/>
      <c r="DC12" s="71"/>
      <c r="DD12" s="76"/>
    </row>
    <row r="13" spans="1:108" s="20" customFormat="1" ht="115.5" customHeight="1">
      <c r="A13" s="25" t="s">
        <v>13</v>
      </c>
      <c r="B13" s="20" t="s">
        <v>408</v>
      </c>
      <c r="C13" s="20" t="s">
        <v>409</v>
      </c>
      <c r="D13" s="20" t="s">
        <v>410</v>
      </c>
      <c r="E13" s="20">
        <v>2</v>
      </c>
      <c r="F13" s="20" t="s">
        <v>219</v>
      </c>
      <c r="G13" s="60">
        <v>1960</v>
      </c>
      <c r="I13" s="20" t="s">
        <v>17</v>
      </c>
      <c r="J13" s="20">
        <v>2</v>
      </c>
      <c r="K13" s="34"/>
      <c r="M13" s="20" t="s">
        <v>22</v>
      </c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6"/>
    </row>
    <row r="14" spans="1:108" s="20" customFormat="1" ht="115.5" customHeight="1">
      <c r="A14" s="25" t="s">
        <v>13</v>
      </c>
      <c r="B14" s="20" t="s">
        <v>227</v>
      </c>
      <c r="C14" s="20" t="s">
        <v>411</v>
      </c>
      <c r="D14" s="20" t="s">
        <v>412</v>
      </c>
      <c r="E14" s="20">
        <v>1</v>
      </c>
      <c r="F14" s="20" t="s">
        <v>229</v>
      </c>
      <c r="G14" s="60">
        <v>950</v>
      </c>
      <c r="I14" s="20" t="s">
        <v>17</v>
      </c>
      <c r="J14" s="20">
        <v>2</v>
      </c>
      <c r="K14" s="34"/>
      <c r="M14" s="20" t="s">
        <v>22</v>
      </c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1"/>
      <c r="DA14" s="71"/>
      <c r="DB14" s="71"/>
      <c r="DC14" s="71"/>
      <c r="DD14" s="76"/>
    </row>
    <row r="15" spans="1:108" s="20" customFormat="1" ht="115.5" customHeight="1">
      <c r="A15" s="25" t="s">
        <v>13</v>
      </c>
      <c r="B15" s="20" t="s">
        <v>234</v>
      </c>
      <c r="C15" s="20" t="s">
        <v>413</v>
      </c>
      <c r="D15" s="20" t="s">
        <v>414</v>
      </c>
      <c r="E15" s="20">
        <v>1</v>
      </c>
      <c r="F15" s="20" t="s">
        <v>237</v>
      </c>
      <c r="G15" s="60">
        <v>1300</v>
      </c>
      <c r="I15" s="20" t="s">
        <v>17</v>
      </c>
      <c r="J15" s="20">
        <v>2</v>
      </c>
      <c r="K15" s="34"/>
      <c r="M15" s="20" t="s">
        <v>22</v>
      </c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  <c r="CP15" s="71"/>
      <c r="CQ15" s="71"/>
      <c r="CR15" s="71"/>
      <c r="CS15" s="71"/>
      <c r="CT15" s="71"/>
      <c r="CU15" s="71"/>
      <c r="CV15" s="71"/>
      <c r="CW15" s="71"/>
      <c r="CX15" s="71"/>
      <c r="CY15" s="71"/>
      <c r="CZ15" s="71"/>
      <c r="DA15" s="71"/>
      <c r="DB15" s="71"/>
      <c r="DC15" s="71"/>
      <c r="DD15" s="76"/>
    </row>
    <row r="16" spans="1:108" s="20" customFormat="1" ht="115.5" customHeight="1">
      <c r="A16" s="25" t="s">
        <v>13</v>
      </c>
      <c r="B16" s="20" t="s">
        <v>238</v>
      </c>
      <c r="C16" s="20" t="s">
        <v>415</v>
      </c>
      <c r="D16" s="20" t="s">
        <v>416</v>
      </c>
      <c r="E16" s="20">
        <v>1</v>
      </c>
      <c r="F16" s="20" t="s">
        <v>241</v>
      </c>
      <c r="G16" s="60">
        <v>1300</v>
      </c>
      <c r="I16" s="20" t="s">
        <v>17</v>
      </c>
      <c r="J16" s="20">
        <v>2</v>
      </c>
      <c r="K16" s="34"/>
      <c r="M16" s="20" t="s">
        <v>22</v>
      </c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  <c r="CQ16" s="71"/>
      <c r="CR16" s="71"/>
      <c r="CS16" s="71"/>
      <c r="CT16" s="71"/>
      <c r="CU16" s="71"/>
      <c r="CV16" s="71"/>
      <c r="CW16" s="71"/>
      <c r="CX16" s="71"/>
      <c r="CY16" s="71"/>
      <c r="CZ16" s="71"/>
      <c r="DA16" s="71"/>
      <c r="DB16" s="71"/>
      <c r="DC16" s="71"/>
      <c r="DD16" s="76"/>
    </row>
    <row r="17" spans="1:108" s="20" customFormat="1" ht="115.5" customHeight="1">
      <c r="A17" s="25" t="s">
        <v>13</v>
      </c>
      <c r="B17" s="78" t="s">
        <v>400</v>
      </c>
      <c r="C17" s="20" t="s">
        <v>417</v>
      </c>
      <c r="D17" s="20" t="s">
        <v>416</v>
      </c>
      <c r="E17" s="20">
        <v>1</v>
      </c>
      <c r="F17" s="20" t="s">
        <v>243</v>
      </c>
      <c r="G17" s="60">
        <v>1300</v>
      </c>
      <c r="I17" s="20" t="s">
        <v>17</v>
      </c>
      <c r="J17" s="20">
        <v>2</v>
      </c>
      <c r="K17" s="34"/>
      <c r="M17" s="20" t="s">
        <v>22</v>
      </c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1"/>
      <c r="CU17" s="71"/>
      <c r="CV17" s="71"/>
      <c r="CW17" s="71"/>
      <c r="CX17" s="71"/>
      <c r="CY17" s="71"/>
      <c r="CZ17" s="71"/>
      <c r="DA17" s="71"/>
      <c r="DB17" s="71"/>
      <c r="DC17" s="71"/>
      <c r="DD17" s="76"/>
    </row>
    <row r="18" spans="1:108" s="20" customFormat="1" ht="115.5" customHeight="1">
      <c r="A18" s="25" t="s">
        <v>13</v>
      </c>
      <c r="B18" s="20" t="s">
        <v>238</v>
      </c>
      <c r="C18" s="20" t="s">
        <v>418</v>
      </c>
      <c r="D18" s="20" t="s">
        <v>416</v>
      </c>
      <c r="E18" s="20">
        <v>1</v>
      </c>
      <c r="F18" s="20" t="s">
        <v>245</v>
      </c>
      <c r="G18" s="60">
        <v>1300</v>
      </c>
      <c r="I18" s="20" t="s">
        <v>17</v>
      </c>
      <c r="J18" s="20">
        <v>2</v>
      </c>
      <c r="K18" s="34"/>
      <c r="M18" s="20" t="s">
        <v>22</v>
      </c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71"/>
      <c r="CL18" s="71"/>
      <c r="CM18" s="71"/>
      <c r="CN18" s="71"/>
      <c r="CO18" s="71"/>
      <c r="CP18" s="71"/>
      <c r="CQ18" s="71"/>
      <c r="CR18" s="71"/>
      <c r="CS18" s="71"/>
      <c r="CT18" s="71"/>
      <c r="CU18" s="71"/>
      <c r="CV18" s="71"/>
      <c r="CW18" s="71"/>
      <c r="CX18" s="71"/>
      <c r="CY18" s="71"/>
      <c r="CZ18" s="71"/>
      <c r="DA18" s="71"/>
      <c r="DB18" s="71"/>
      <c r="DC18" s="71"/>
      <c r="DD18" s="76"/>
    </row>
    <row r="19" spans="1:108" s="19" customFormat="1" ht="108.75" customHeight="1">
      <c r="A19" s="25" t="s">
        <v>13</v>
      </c>
      <c r="B19" s="20"/>
      <c r="C19" s="20" t="s">
        <v>419</v>
      </c>
      <c r="D19" s="20" t="s">
        <v>420</v>
      </c>
      <c r="E19" s="20">
        <v>1</v>
      </c>
      <c r="F19" s="20" t="s">
        <v>171</v>
      </c>
      <c r="G19" s="60">
        <v>1300</v>
      </c>
      <c r="H19" s="20">
        <v>16</v>
      </c>
      <c r="I19" s="20" t="s">
        <v>17</v>
      </c>
      <c r="J19" s="20">
        <v>2</v>
      </c>
      <c r="K19" s="34">
        <v>45134</v>
      </c>
      <c r="L19" s="20"/>
      <c r="M19" s="20" t="s">
        <v>172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108" s="19" customFormat="1" ht="85.5" customHeight="1">
      <c r="A20" s="25" t="s">
        <v>13</v>
      </c>
      <c r="B20" s="78" t="s">
        <v>400</v>
      </c>
      <c r="C20" s="20" t="s">
        <v>421</v>
      </c>
      <c r="D20" s="20" t="s">
        <v>422</v>
      </c>
      <c r="E20" s="20">
        <v>1</v>
      </c>
      <c r="F20" s="20" t="s">
        <v>175</v>
      </c>
      <c r="G20" s="60">
        <v>950</v>
      </c>
      <c r="H20" s="20">
        <v>16</v>
      </c>
      <c r="I20" s="20" t="s">
        <v>17</v>
      </c>
      <c r="J20" s="20">
        <v>2</v>
      </c>
      <c r="K20" s="34">
        <v>45134</v>
      </c>
      <c r="L20" s="20"/>
      <c r="M20" s="20" t="s">
        <v>22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108" s="19" customFormat="1" ht="92.25" customHeight="1">
      <c r="A21" s="25" t="s">
        <v>13</v>
      </c>
      <c r="B21" s="78" t="s">
        <v>400</v>
      </c>
      <c r="C21" s="20" t="s">
        <v>423</v>
      </c>
      <c r="D21" s="20" t="s">
        <v>424</v>
      </c>
      <c r="E21" s="20">
        <v>1</v>
      </c>
      <c r="F21" s="20" t="s">
        <v>178</v>
      </c>
      <c r="G21" s="60">
        <v>950</v>
      </c>
      <c r="H21" s="20">
        <v>16</v>
      </c>
      <c r="I21" s="20" t="s">
        <v>17</v>
      </c>
      <c r="J21" s="20">
        <v>2</v>
      </c>
      <c r="K21" s="34">
        <v>45131</v>
      </c>
      <c r="L21" s="20"/>
      <c r="M21" s="20" t="s">
        <v>22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108" s="19" customFormat="1" ht="100.5" customHeight="1">
      <c r="A22" s="25" t="s">
        <v>13</v>
      </c>
      <c r="B22" s="20"/>
      <c r="C22" s="20" t="s">
        <v>425</v>
      </c>
      <c r="D22" s="20" t="s">
        <v>424</v>
      </c>
      <c r="E22" s="20">
        <v>1</v>
      </c>
      <c r="F22" s="20" t="s">
        <v>180</v>
      </c>
      <c r="G22" s="60">
        <v>950</v>
      </c>
      <c r="H22" s="20">
        <v>16</v>
      </c>
      <c r="I22" s="20" t="s">
        <v>17</v>
      </c>
      <c r="J22" s="20">
        <v>2</v>
      </c>
      <c r="K22" s="34">
        <v>45131</v>
      </c>
      <c r="L22" s="20"/>
      <c r="M22" s="20" t="s">
        <v>22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108" s="19" customFormat="1" ht="106.5" customHeight="1">
      <c r="A23" s="25" t="s">
        <v>13</v>
      </c>
      <c r="B23" s="20" t="s">
        <v>138</v>
      </c>
      <c r="C23" s="20" t="s">
        <v>426</v>
      </c>
      <c r="D23" s="20" t="s">
        <v>427</v>
      </c>
      <c r="E23" s="20">
        <v>1</v>
      </c>
      <c r="F23" s="20" t="s">
        <v>140</v>
      </c>
      <c r="G23" s="60">
        <v>950</v>
      </c>
      <c r="H23" s="20">
        <v>4</v>
      </c>
      <c r="I23" s="20" t="s">
        <v>17</v>
      </c>
      <c r="J23" s="20">
        <v>2</v>
      </c>
      <c r="K23" s="34"/>
      <c r="L23" s="20"/>
      <c r="M23" s="20" t="s">
        <v>22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108" s="19" customFormat="1" ht="111" customHeight="1">
      <c r="A24" s="25" t="s">
        <v>13</v>
      </c>
      <c r="B24" s="20"/>
      <c r="C24" s="20" t="s">
        <v>428</v>
      </c>
      <c r="D24" s="20" t="s">
        <v>429</v>
      </c>
      <c r="E24" s="20">
        <v>1</v>
      </c>
      <c r="F24" s="20" t="s">
        <v>143</v>
      </c>
      <c r="G24" s="60">
        <v>1300</v>
      </c>
      <c r="H24" s="20">
        <v>4</v>
      </c>
      <c r="I24" s="20" t="s">
        <v>17</v>
      </c>
      <c r="J24" s="20">
        <v>2</v>
      </c>
      <c r="K24" s="34"/>
      <c r="L24" s="20"/>
      <c r="M24" s="20" t="s">
        <v>22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108" s="20" customFormat="1" ht="115.5" customHeight="1">
      <c r="A25" s="25" t="s">
        <v>13</v>
      </c>
      <c r="B25" s="20" t="s">
        <v>307</v>
      </c>
      <c r="C25" s="20" t="s">
        <v>428</v>
      </c>
      <c r="D25" s="20" t="s">
        <v>430</v>
      </c>
      <c r="E25" s="20">
        <v>2</v>
      </c>
      <c r="F25" s="20" t="s">
        <v>309</v>
      </c>
      <c r="G25" s="60">
        <v>1300</v>
      </c>
      <c r="I25" s="20" t="s">
        <v>17</v>
      </c>
      <c r="J25" s="20">
        <v>2</v>
      </c>
      <c r="K25" s="34"/>
      <c r="M25" s="20" t="s">
        <v>22</v>
      </c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1"/>
      <c r="CF25" s="71"/>
      <c r="CG25" s="71"/>
      <c r="CH25" s="71"/>
      <c r="CI25" s="71"/>
      <c r="CJ25" s="71"/>
      <c r="CK25" s="71"/>
      <c r="CL25" s="71"/>
      <c r="CM25" s="71"/>
      <c r="CN25" s="71"/>
      <c r="CO25" s="71"/>
      <c r="CP25" s="71"/>
      <c r="CQ25" s="71"/>
      <c r="CR25" s="71"/>
      <c r="CS25" s="71"/>
      <c r="CT25" s="71"/>
      <c r="CU25" s="71"/>
      <c r="CV25" s="71"/>
      <c r="CW25" s="71"/>
      <c r="CX25" s="71"/>
      <c r="CY25" s="71"/>
      <c r="CZ25" s="71"/>
      <c r="DA25" s="71"/>
      <c r="DB25" s="71"/>
      <c r="DC25" s="71"/>
      <c r="DD25" s="76"/>
    </row>
    <row r="26" spans="1:108" s="19" customFormat="1" ht="111" customHeight="1">
      <c r="A26" s="25" t="s">
        <v>13</v>
      </c>
      <c r="B26" s="78" t="s">
        <v>431</v>
      </c>
      <c r="C26" s="20" t="s">
        <v>428</v>
      </c>
      <c r="D26" s="20" t="s">
        <v>432</v>
      </c>
      <c r="E26" s="20">
        <v>1</v>
      </c>
      <c r="F26" s="20" t="s">
        <v>143</v>
      </c>
      <c r="G26" s="60">
        <v>1300</v>
      </c>
      <c r="H26" s="20">
        <v>4</v>
      </c>
      <c r="I26" s="20" t="s">
        <v>17</v>
      </c>
      <c r="J26" s="20">
        <v>2</v>
      </c>
      <c r="K26" s="34"/>
      <c r="L26" s="20"/>
      <c r="M26" s="20" t="s">
        <v>22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108" s="19" customFormat="1" ht="86.25" customHeight="1">
      <c r="A27" s="25" t="s">
        <v>13</v>
      </c>
      <c r="B27" s="20"/>
      <c r="C27" s="20" t="s">
        <v>433</v>
      </c>
      <c r="D27" s="20" t="s">
        <v>429</v>
      </c>
      <c r="E27" s="20">
        <v>1</v>
      </c>
      <c r="F27" s="20" t="s">
        <v>21</v>
      </c>
      <c r="G27" s="60">
        <v>1300</v>
      </c>
      <c r="H27" s="20">
        <v>4</v>
      </c>
      <c r="I27" s="20" t="s">
        <v>17</v>
      </c>
      <c r="J27" s="20">
        <v>2</v>
      </c>
      <c r="K27" s="34"/>
      <c r="L27" s="20"/>
      <c r="M27" s="20" t="s">
        <v>22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108" s="19" customFormat="1" ht="97.5" customHeight="1">
      <c r="A28" s="25" t="s">
        <v>13</v>
      </c>
      <c r="B28" s="20"/>
      <c r="C28" s="20" t="s">
        <v>433</v>
      </c>
      <c r="D28" s="20" t="s">
        <v>434</v>
      </c>
      <c r="E28" s="20">
        <v>1</v>
      </c>
      <c r="F28" s="20" t="s">
        <v>21</v>
      </c>
      <c r="G28" s="60">
        <v>1300</v>
      </c>
      <c r="H28" s="20" t="s">
        <v>147</v>
      </c>
      <c r="I28" s="20" t="s">
        <v>17</v>
      </c>
      <c r="J28" s="20">
        <v>2</v>
      </c>
      <c r="K28" s="34"/>
      <c r="L28" s="20"/>
      <c r="M28" s="20" t="s">
        <v>22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108" s="19" customFormat="1" ht="105">
      <c r="A29" s="20" t="s">
        <v>73</v>
      </c>
      <c r="B29" s="20"/>
      <c r="C29" s="20" t="s">
        <v>435</v>
      </c>
      <c r="D29" s="34" t="s">
        <v>436</v>
      </c>
      <c r="E29" s="20">
        <v>1</v>
      </c>
      <c r="F29" s="20" t="s">
        <v>76</v>
      </c>
      <c r="G29" s="60">
        <v>600</v>
      </c>
      <c r="H29" s="20">
        <v>5</v>
      </c>
      <c r="I29" s="20" t="s">
        <v>77</v>
      </c>
      <c r="J29" s="20"/>
      <c r="K29" s="20"/>
      <c r="L29" s="20"/>
      <c r="M29" s="20" t="s">
        <v>78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108" s="19" customFormat="1" ht="89.25" customHeight="1">
      <c r="A30" s="25" t="s">
        <v>13</v>
      </c>
      <c r="B30" s="20" t="s">
        <v>66</v>
      </c>
      <c r="C30" s="20" t="s">
        <v>437</v>
      </c>
      <c r="D30" s="20" t="s">
        <v>438</v>
      </c>
      <c r="E30" s="20">
        <v>4</v>
      </c>
      <c r="F30" s="20" t="s">
        <v>72</v>
      </c>
      <c r="G30" s="60">
        <v>3800</v>
      </c>
      <c r="H30" s="20">
        <v>4</v>
      </c>
      <c r="I30" s="20" t="s">
        <v>17</v>
      </c>
      <c r="J30" s="20">
        <v>2</v>
      </c>
      <c r="K30" s="34"/>
      <c r="L30" s="20"/>
      <c r="M30" s="20" t="s">
        <v>18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108" s="19" customFormat="1" ht="84" customHeight="1">
      <c r="A31" s="25" t="s">
        <v>13</v>
      </c>
      <c r="B31" s="20" t="s">
        <v>66</v>
      </c>
      <c r="C31" s="20" t="s">
        <v>385</v>
      </c>
      <c r="D31" s="20" t="s">
        <v>439</v>
      </c>
      <c r="E31" s="20">
        <v>1</v>
      </c>
      <c r="F31" s="20" t="s">
        <v>16</v>
      </c>
      <c r="G31" s="60">
        <v>950</v>
      </c>
      <c r="H31" s="20">
        <v>4</v>
      </c>
      <c r="I31" s="20" t="s">
        <v>17</v>
      </c>
      <c r="J31" s="20">
        <v>2</v>
      </c>
      <c r="K31" s="34"/>
      <c r="L31" s="20"/>
      <c r="M31" s="20" t="s">
        <v>18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108" s="19" customFormat="1" ht="102" customHeight="1">
      <c r="A32" s="25" t="s">
        <v>13</v>
      </c>
      <c r="B32" s="20" t="s">
        <v>66</v>
      </c>
      <c r="C32" s="20" t="s">
        <v>440</v>
      </c>
      <c r="D32" s="20" t="s">
        <v>441</v>
      </c>
      <c r="E32" s="20">
        <v>1</v>
      </c>
      <c r="F32" s="20" t="s">
        <v>25</v>
      </c>
      <c r="G32" s="60">
        <v>950</v>
      </c>
      <c r="H32" s="20">
        <v>4</v>
      </c>
      <c r="I32" s="20" t="s">
        <v>17</v>
      </c>
      <c r="J32" s="20">
        <v>2</v>
      </c>
      <c r="K32" s="34">
        <v>44568</v>
      </c>
      <c r="L32" s="20"/>
      <c r="M32" s="20" t="s">
        <v>22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s="19" customFormat="1" ht="80.25" customHeight="1">
      <c r="A33" s="25" t="s">
        <v>13</v>
      </c>
      <c r="B33" s="79" t="s">
        <v>110</v>
      </c>
      <c r="C33" s="20" t="s">
        <v>442</v>
      </c>
      <c r="D33" s="20" t="s">
        <v>412</v>
      </c>
      <c r="E33" s="20">
        <v>1</v>
      </c>
      <c r="F33" s="20" t="s">
        <v>113</v>
      </c>
      <c r="G33" s="60">
        <v>1300</v>
      </c>
      <c r="H33" s="20">
        <v>30</v>
      </c>
      <c r="I33" s="20" t="s">
        <v>17</v>
      </c>
      <c r="J33" s="20">
        <v>2</v>
      </c>
      <c r="K33" s="34">
        <v>45064</v>
      </c>
      <c r="L33" s="20"/>
      <c r="M33" s="20" t="s">
        <v>33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s="19" customFormat="1" ht="93.75" customHeight="1">
      <c r="A34" s="25" t="s">
        <v>13</v>
      </c>
      <c r="B34" s="56" t="s">
        <v>114</v>
      </c>
      <c r="C34" s="20" t="s">
        <v>443</v>
      </c>
      <c r="D34" s="20" t="s">
        <v>444</v>
      </c>
      <c r="E34" s="20">
        <v>1</v>
      </c>
      <c r="F34" s="20" t="s">
        <v>117</v>
      </c>
      <c r="G34" s="60">
        <v>950</v>
      </c>
      <c r="H34" s="20">
        <v>30</v>
      </c>
      <c r="I34" s="20" t="s">
        <v>17</v>
      </c>
      <c r="J34" s="20">
        <v>2</v>
      </c>
      <c r="K34" s="34">
        <v>45040</v>
      </c>
      <c r="L34" s="20"/>
      <c r="M34" s="20" t="s">
        <v>33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s="19" customFormat="1" ht="93.75" customHeight="1">
      <c r="A35" s="25" t="s">
        <v>13</v>
      </c>
      <c r="B35" s="93" t="s">
        <v>400</v>
      </c>
      <c r="C35" s="20" t="s">
        <v>445</v>
      </c>
      <c r="D35" s="20" t="s">
        <v>446</v>
      </c>
      <c r="E35" s="20">
        <v>1</v>
      </c>
      <c r="F35" s="20" t="s">
        <v>375</v>
      </c>
      <c r="G35" s="60">
        <v>1300</v>
      </c>
      <c r="H35" s="20">
        <v>30</v>
      </c>
      <c r="I35" s="20" t="s">
        <v>17</v>
      </c>
      <c r="J35" s="20">
        <v>2</v>
      </c>
      <c r="K35" s="34">
        <v>45229</v>
      </c>
      <c r="L35" s="20"/>
      <c r="M35" s="20" t="s">
        <v>33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s="19" customFormat="1" ht="114.75" customHeight="1">
      <c r="A36" s="25" t="s">
        <v>13</v>
      </c>
      <c r="B36" s="56" t="s">
        <v>400</v>
      </c>
      <c r="C36" s="20" t="s">
        <v>447</v>
      </c>
      <c r="D36" s="20" t="s">
        <v>448</v>
      </c>
      <c r="E36" s="20">
        <v>1</v>
      </c>
      <c r="F36" s="20" t="s">
        <v>379</v>
      </c>
      <c r="G36" s="60">
        <v>1300</v>
      </c>
      <c r="H36" s="20">
        <v>30</v>
      </c>
      <c r="I36" s="20" t="s">
        <v>17</v>
      </c>
      <c r="J36" s="20">
        <v>2</v>
      </c>
      <c r="K36" s="34">
        <v>45218</v>
      </c>
      <c r="L36" s="20"/>
      <c r="M36" s="20" t="s">
        <v>33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42" customHeight="1">
      <c r="A37" s="90"/>
      <c r="B37" s="90"/>
      <c r="C37" s="90"/>
      <c r="D37" s="90"/>
      <c r="E37" s="90"/>
      <c r="F37" s="90"/>
      <c r="G37" s="92">
        <f>SUM(G2:G36)</f>
        <v>45110</v>
      </c>
      <c r="H37" s="90"/>
      <c r="I37" s="90"/>
      <c r="J37" s="90"/>
      <c r="K37" s="90"/>
      <c r="L37" s="90"/>
      <c r="M37" s="90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</sheetData>
  <autoFilter ref="A1:DD37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12"/>
  <dimension ref="A1:DD30"/>
  <sheetViews>
    <sheetView workbookViewId="0">
      <selection activeCell="B4" sqref="B4"/>
    </sheetView>
  </sheetViews>
  <sheetFormatPr defaultColWidth="9" defaultRowHeight="15"/>
  <cols>
    <col min="1" max="1" width="21.28515625" customWidth="1"/>
    <col min="2" max="2" width="17.140625" customWidth="1"/>
    <col min="3" max="4" width="14.5703125" customWidth="1"/>
    <col min="5" max="5" width="10.85546875" customWidth="1"/>
    <col min="6" max="6" width="24.42578125" customWidth="1"/>
    <col min="7" max="7" width="12.28515625" customWidth="1"/>
    <col min="9" max="9" width="15.140625" customWidth="1"/>
    <col min="10" max="10" width="12.85546875" customWidth="1"/>
    <col min="11" max="11" width="10.85546875" customWidth="1"/>
    <col min="13" max="13" width="58.140625" customWidth="1"/>
  </cols>
  <sheetData>
    <row r="1" spans="1:108" s="58" customFormat="1" ht="70.5" customHeight="1">
      <c r="A1" s="5" t="s">
        <v>0</v>
      </c>
      <c r="B1" s="7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</row>
    <row r="2" spans="1:108" s="59" customFormat="1" ht="115.5" customHeight="1">
      <c r="A2" s="25" t="s">
        <v>13</v>
      </c>
      <c r="B2" s="78" t="s">
        <v>449</v>
      </c>
      <c r="C2" s="20" t="s">
        <v>450</v>
      </c>
      <c r="D2" s="20" t="s">
        <v>451</v>
      </c>
      <c r="E2" s="20">
        <v>1</v>
      </c>
      <c r="F2" s="20" t="s">
        <v>452</v>
      </c>
      <c r="G2" s="60">
        <v>950</v>
      </c>
      <c r="H2" s="20"/>
      <c r="I2" s="20" t="s">
        <v>17</v>
      </c>
      <c r="J2" s="20">
        <v>2</v>
      </c>
      <c r="K2" s="34">
        <v>45268</v>
      </c>
      <c r="L2" s="20"/>
      <c r="M2" s="20" t="s">
        <v>22</v>
      </c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7"/>
    </row>
    <row r="3" spans="1:108" s="59" customFormat="1" ht="115.5" customHeight="1">
      <c r="A3" s="25" t="s">
        <v>13</v>
      </c>
      <c r="B3" s="78" t="s">
        <v>453</v>
      </c>
      <c r="C3" s="20" t="s">
        <v>454</v>
      </c>
      <c r="D3" s="20" t="s">
        <v>382</v>
      </c>
      <c r="E3" s="20">
        <v>1</v>
      </c>
      <c r="F3" s="20" t="s">
        <v>383</v>
      </c>
      <c r="G3" s="60">
        <v>950</v>
      </c>
      <c r="H3" s="20"/>
      <c r="I3" s="20" t="s">
        <v>17</v>
      </c>
      <c r="J3" s="20">
        <v>2</v>
      </c>
      <c r="K3" s="34">
        <v>45257</v>
      </c>
      <c r="L3" s="20"/>
      <c r="M3" s="20" t="s">
        <v>22</v>
      </c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74"/>
      <c r="BY3" s="74"/>
      <c r="BZ3" s="74"/>
      <c r="CA3" s="74"/>
      <c r="CB3" s="74"/>
      <c r="CC3" s="74"/>
      <c r="CD3" s="74"/>
      <c r="CE3" s="74"/>
      <c r="CF3" s="74"/>
      <c r="CG3" s="74"/>
      <c r="CH3" s="74"/>
      <c r="CI3" s="74"/>
      <c r="CJ3" s="74"/>
      <c r="CK3" s="74"/>
      <c r="CL3" s="74"/>
      <c r="CM3" s="74"/>
      <c r="CN3" s="74"/>
      <c r="CO3" s="74"/>
      <c r="CP3" s="74"/>
      <c r="CQ3" s="74"/>
      <c r="CR3" s="74"/>
      <c r="CS3" s="74"/>
      <c r="CT3" s="74"/>
      <c r="CU3" s="74"/>
      <c r="CV3" s="74"/>
      <c r="CW3" s="74"/>
      <c r="CX3" s="74"/>
      <c r="CY3" s="74"/>
      <c r="CZ3" s="74"/>
      <c r="DA3" s="74"/>
      <c r="DB3" s="74"/>
      <c r="DC3" s="74"/>
      <c r="DD3" s="77"/>
    </row>
    <row r="4" spans="1:108" s="59" customFormat="1" ht="115.5" customHeight="1">
      <c r="A4" s="25" t="s">
        <v>13</v>
      </c>
      <c r="B4" s="54" t="s">
        <v>455</v>
      </c>
      <c r="C4" s="20" t="s">
        <v>456</v>
      </c>
      <c r="D4" s="20" t="s">
        <v>457</v>
      </c>
      <c r="E4" s="20">
        <v>1</v>
      </c>
      <c r="F4" s="20" t="s">
        <v>383</v>
      </c>
      <c r="G4" s="60">
        <v>950</v>
      </c>
      <c r="H4" s="20"/>
      <c r="I4" s="20" t="s">
        <v>17</v>
      </c>
      <c r="J4" s="20">
        <v>2</v>
      </c>
      <c r="K4" s="34"/>
      <c r="L4" s="20"/>
      <c r="M4" s="20" t="s">
        <v>22</v>
      </c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BZ4" s="74"/>
      <c r="CA4" s="74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4"/>
      <c r="CM4" s="74"/>
      <c r="CN4" s="74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4"/>
      <c r="CZ4" s="74"/>
      <c r="DA4" s="74"/>
      <c r="DB4" s="74"/>
      <c r="DC4" s="74"/>
      <c r="DD4" s="77"/>
    </row>
    <row r="5" spans="1:108" s="59" customFormat="1" ht="115.5" customHeight="1">
      <c r="A5" s="25" t="s">
        <v>13</v>
      </c>
      <c r="B5" s="78" t="s">
        <v>387</v>
      </c>
      <c r="C5" s="20" t="s">
        <v>458</v>
      </c>
      <c r="D5" s="20" t="s">
        <v>459</v>
      </c>
      <c r="E5" s="20">
        <v>1</v>
      </c>
      <c r="F5" s="20" t="s">
        <v>388</v>
      </c>
      <c r="G5" s="60">
        <v>950</v>
      </c>
      <c r="H5" s="20"/>
      <c r="I5" s="20" t="s">
        <v>17</v>
      </c>
      <c r="J5" s="20">
        <v>2</v>
      </c>
      <c r="K5" s="34"/>
      <c r="L5" s="20"/>
      <c r="M5" s="20" t="s">
        <v>22</v>
      </c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  <c r="BS5" s="74"/>
      <c r="BT5" s="74"/>
      <c r="BU5" s="74"/>
      <c r="BV5" s="74"/>
      <c r="BW5" s="74"/>
      <c r="BX5" s="74"/>
      <c r="BY5" s="74"/>
      <c r="BZ5" s="74"/>
      <c r="CA5" s="74"/>
      <c r="CB5" s="74"/>
      <c r="CC5" s="74"/>
      <c r="CD5" s="74"/>
      <c r="CE5" s="74"/>
      <c r="CF5" s="74"/>
      <c r="CG5" s="74"/>
      <c r="CH5" s="74"/>
      <c r="CI5" s="74"/>
      <c r="CJ5" s="74"/>
      <c r="CK5" s="74"/>
      <c r="CL5" s="74"/>
      <c r="CM5" s="74"/>
      <c r="CN5" s="74"/>
      <c r="CO5" s="74"/>
      <c r="CP5" s="74"/>
      <c r="CQ5" s="74"/>
      <c r="CR5" s="74"/>
      <c r="CS5" s="74"/>
      <c r="CT5" s="74"/>
      <c r="CU5" s="74"/>
      <c r="CV5" s="74"/>
      <c r="CW5" s="74"/>
      <c r="CX5" s="74"/>
      <c r="CY5" s="74"/>
      <c r="CZ5" s="74"/>
      <c r="DA5" s="74"/>
      <c r="DB5" s="74"/>
      <c r="DC5" s="74"/>
      <c r="DD5" s="77"/>
    </row>
    <row r="6" spans="1:108" s="59" customFormat="1" ht="115.5" customHeight="1">
      <c r="A6" s="25" t="s">
        <v>13</v>
      </c>
      <c r="B6" s="54" t="s">
        <v>460</v>
      </c>
      <c r="C6" s="20" t="s">
        <v>461</v>
      </c>
      <c r="D6" s="20" t="s">
        <v>462</v>
      </c>
      <c r="E6" s="20">
        <v>1</v>
      </c>
      <c r="F6" s="20" t="s">
        <v>463</v>
      </c>
      <c r="G6" s="60">
        <v>950</v>
      </c>
      <c r="H6" s="20"/>
      <c r="I6" s="20" t="s">
        <v>17</v>
      </c>
      <c r="J6" s="20">
        <v>2</v>
      </c>
      <c r="K6" s="34"/>
      <c r="L6" s="20"/>
      <c r="M6" s="20" t="s">
        <v>22</v>
      </c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/>
      <c r="BR6" s="74"/>
      <c r="BS6" s="74"/>
      <c r="BT6" s="74"/>
      <c r="BU6" s="74"/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  <c r="DA6" s="74"/>
      <c r="DB6" s="74"/>
      <c r="DC6" s="74"/>
      <c r="DD6" s="77"/>
    </row>
    <row r="7" spans="1:108" s="20" customFormat="1" ht="115.5" customHeight="1">
      <c r="A7" s="25" t="s">
        <v>13</v>
      </c>
      <c r="B7" s="78" t="s">
        <v>464</v>
      </c>
      <c r="C7" s="20" t="s">
        <v>465</v>
      </c>
      <c r="D7" s="20" t="s">
        <v>466</v>
      </c>
      <c r="E7" s="20">
        <v>1</v>
      </c>
      <c r="F7" s="20" t="s">
        <v>467</v>
      </c>
      <c r="G7" s="60">
        <v>950</v>
      </c>
      <c r="H7" s="20">
        <v>26</v>
      </c>
      <c r="I7" s="20" t="s">
        <v>17</v>
      </c>
      <c r="J7" s="20">
        <v>2</v>
      </c>
      <c r="K7" s="34">
        <v>45258</v>
      </c>
      <c r="M7" s="20" t="s">
        <v>22</v>
      </c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1"/>
      <c r="DA7" s="71"/>
      <c r="DB7" s="71"/>
      <c r="DC7" s="71"/>
      <c r="DD7" s="76"/>
    </row>
    <row r="8" spans="1:108" s="20" customFormat="1" ht="115.5" customHeight="1">
      <c r="A8" s="25" t="s">
        <v>13</v>
      </c>
      <c r="B8" s="20" t="s">
        <v>324</v>
      </c>
      <c r="C8" s="20" t="s">
        <v>468</v>
      </c>
      <c r="D8" s="20" t="s">
        <v>469</v>
      </c>
      <c r="E8" s="20">
        <v>1</v>
      </c>
      <c r="F8" s="20" t="s">
        <v>327</v>
      </c>
      <c r="G8" s="60">
        <v>950</v>
      </c>
      <c r="I8" s="20" t="s">
        <v>17</v>
      </c>
      <c r="J8" s="20">
        <v>2</v>
      </c>
      <c r="K8" s="34"/>
      <c r="M8" s="20" t="s">
        <v>22</v>
      </c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1"/>
      <c r="DA8" s="71"/>
      <c r="DB8" s="71"/>
      <c r="DC8" s="71"/>
      <c r="DD8" s="76"/>
    </row>
    <row r="9" spans="1:108" s="20" customFormat="1" ht="115.5" customHeight="1">
      <c r="A9" s="25" t="s">
        <v>13</v>
      </c>
      <c r="B9" s="20" t="s">
        <v>276</v>
      </c>
      <c r="C9" s="20" t="s">
        <v>470</v>
      </c>
      <c r="D9" s="20" t="s">
        <v>471</v>
      </c>
      <c r="E9" s="20">
        <v>4</v>
      </c>
      <c r="F9" s="20" t="s">
        <v>279</v>
      </c>
      <c r="G9" s="60">
        <v>3800</v>
      </c>
      <c r="I9" s="20" t="s">
        <v>17</v>
      </c>
      <c r="J9" s="20">
        <v>2</v>
      </c>
      <c r="K9" s="34"/>
      <c r="M9" s="20" t="s">
        <v>22</v>
      </c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71"/>
      <c r="DA9" s="71"/>
      <c r="DB9" s="71"/>
      <c r="DC9" s="71"/>
      <c r="DD9" s="76"/>
    </row>
    <row r="10" spans="1:108" s="19" customFormat="1" ht="100.5" customHeight="1">
      <c r="A10" s="25" t="s">
        <v>13</v>
      </c>
      <c r="B10" s="20" t="s">
        <v>280</v>
      </c>
      <c r="C10" s="20" t="s">
        <v>472</v>
      </c>
      <c r="D10" s="20" t="s">
        <v>473</v>
      </c>
      <c r="E10" s="20">
        <v>1</v>
      </c>
      <c r="F10" s="20" t="s">
        <v>180</v>
      </c>
      <c r="G10" s="60">
        <v>950</v>
      </c>
      <c r="H10" s="20">
        <v>16</v>
      </c>
      <c r="I10" s="20" t="s">
        <v>17</v>
      </c>
      <c r="J10" s="20">
        <v>2</v>
      </c>
      <c r="K10" s="34">
        <v>45188</v>
      </c>
      <c r="L10" s="20"/>
      <c r="M10" s="20" t="s">
        <v>22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108" s="20" customFormat="1" ht="115.5" customHeight="1">
      <c r="A11" s="25" t="s">
        <v>13</v>
      </c>
      <c r="B11" s="20" t="s">
        <v>408</v>
      </c>
      <c r="C11" s="20" t="s">
        <v>474</v>
      </c>
      <c r="D11" s="20" t="s">
        <v>475</v>
      </c>
      <c r="E11" s="20">
        <v>2</v>
      </c>
      <c r="F11" s="20" t="s">
        <v>219</v>
      </c>
      <c r="G11" s="60">
        <v>1960</v>
      </c>
      <c r="I11" s="20" t="s">
        <v>17</v>
      </c>
      <c r="J11" s="20">
        <v>2</v>
      </c>
      <c r="K11" s="34"/>
      <c r="M11" s="20" t="s">
        <v>22</v>
      </c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  <c r="CT11" s="71"/>
      <c r="CU11" s="71"/>
      <c r="CV11" s="71"/>
      <c r="CW11" s="71"/>
      <c r="CX11" s="71"/>
      <c r="CY11" s="71"/>
      <c r="CZ11" s="71"/>
      <c r="DA11" s="71"/>
      <c r="DB11" s="71"/>
      <c r="DC11" s="71"/>
      <c r="DD11" s="76"/>
    </row>
    <row r="12" spans="1:108" s="20" customFormat="1" ht="115.5" customHeight="1">
      <c r="A12" s="25" t="s">
        <v>13</v>
      </c>
      <c r="B12" s="20" t="s">
        <v>234</v>
      </c>
      <c r="C12" s="20" t="s">
        <v>476</v>
      </c>
      <c r="D12" s="20" t="s">
        <v>477</v>
      </c>
      <c r="E12" s="20">
        <v>1</v>
      </c>
      <c r="F12" s="20" t="s">
        <v>237</v>
      </c>
      <c r="G12" s="60">
        <v>1300</v>
      </c>
      <c r="I12" s="20" t="s">
        <v>17</v>
      </c>
      <c r="J12" s="20">
        <v>2</v>
      </c>
      <c r="K12" s="34"/>
      <c r="M12" s="20" t="s">
        <v>22</v>
      </c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/>
      <c r="CT12" s="71"/>
      <c r="CU12" s="71"/>
      <c r="CV12" s="71"/>
      <c r="CW12" s="71"/>
      <c r="CX12" s="71"/>
      <c r="CY12" s="71"/>
      <c r="CZ12" s="71"/>
      <c r="DA12" s="71"/>
      <c r="DB12" s="71"/>
      <c r="DC12" s="71"/>
      <c r="DD12" s="76"/>
    </row>
    <row r="13" spans="1:108" s="20" customFormat="1" ht="115.5" customHeight="1">
      <c r="A13" s="25" t="s">
        <v>13</v>
      </c>
      <c r="B13" s="20" t="s">
        <v>238</v>
      </c>
      <c r="C13" s="20" t="s">
        <v>478</v>
      </c>
      <c r="D13" s="20" t="s">
        <v>479</v>
      </c>
      <c r="E13" s="20">
        <v>1</v>
      </c>
      <c r="F13" s="20" t="s">
        <v>241</v>
      </c>
      <c r="G13" s="60">
        <v>1300</v>
      </c>
      <c r="I13" s="20" t="s">
        <v>17</v>
      </c>
      <c r="J13" s="20">
        <v>2</v>
      </c>
      <c r="K13" s="34"/>
      <c r="M13" s="20" t="s">
        <v>22</v>
      </c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6"/>
    </row>
    <row r="14" spans="1:108" s="20" customFormat="1" ht="115.5" customHeight="1">
      <c r="A14" s="25" t="s">
        <v>13</v>
      </c>
      <c r="B14" s="20" t="s">
        <v>238</v>
      </c>
      <c r="C14" s="20" t="s">
        <v>480</v>
      </c>
      <c r="D14" s="20" t="s">
        <v>479</v>
      </c>
      <c r="E14" s="20">
        <v>1</v>
      </c>
      <c r="F14" s="20" t="s">
        <v>245</v>
      </c>
      <c r="G14" s="60">
        <v>1300</v>
      </c>
      <c r="I14" s="20" t="s">
        <v>17</v>
      </c>
      <c r="J14" s="20">
        <v>2</v>
      </c>
      <c r="K14" s="34"/>
      <c r="M14" s="20" t="s">
        <v>22</v>
      </c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1"/>
      <c r="DA14" s="71"/>
      <c r="DB14" s="71"/>
      <c r="DC14" s="71"/>
      <c r="DD14" s="76"/>
    </row>
    <row r="15" spans="1:108" s="19" customFormat="1" ht="108.75" customHeight="1">
      <c r="A15" s="25" t="s">
        <v>13</v>
      </c>
      <c r="B15" s="20"/>
      <c r="C15" s="20" t="s">
        <v>481</v>
      </c>
      <c r="D15" s="20" t="s">
        <v>482</v>
      </c>
      <c r="E15" s="20">
        <v>1</v>
      </c>
      <c r="F15" s="20" t="s">
        <v>483</v>
      </c>
      <c r="G15" s="60">
        <v>1300</v>
      </c>
      <c r="H15" s="20">
        <v>16</v>
      </c>
      <c r="I15" s="20" t="s">
        <v>17</v>
      </c>
      <c r="J15" s="20">
        <v>2</v>
      </c>
      <c r="K15" s="34">
        <v>45134</v>
      </c>
      <c r="L15" s="20"/>
      <c r="M15" s="20" t="s">
        <v>172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108" s="19" customFormat="1" ht="100.5" customHeight="1">
      <c r="A16" s="25" t="s">
        <v>13</v>
      </c>
      <c r="B16" s="20"/>
      <c r="C16" s="20" t="s">
        <v>484</v>
      </c>
      <c r="D16" s="20" t="s">
        <v>485</v>
      </c>
      <c r="E16" s="20">
        <v>1</v>
      </c>
      <c r="F16" s="20" t="s">
        <v>180</v>
      </c>
      <c r="G16" s="60">
        <v>950</v>
      </c>
      <c r="H16" s="20">
        <v>16</v>
      </c>
      <c r="I16" s="20" t="s">
        <v>17</v>
      </c>
      <c r="J16" s="20">
        <v>2</v>
      </c>
      <c r="K16" s="34">
        <v>45131</v>
      </c>
      <c r="L16" s="20"/>
      <c r="M16" s="20" t="s">
        <v>22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108" s="19" customFormat="1" ht="106.5" customHeight="1">
      <c r="A17" s="25" t="s">
        <v>13</v>
      </c>
      <c r="B17" s="20" t="s">
        <v>138</v>
      </c>
      <c r="C17" s="20" t="s">
        <v>486</v>
      </c>
      <c r="D17" s="20" t="s">
        <v>487</v>
      </c>
      <c r="E17" s="20">
        <v>1</v>
      </c>
      <c r="F17" s="20" t="s">
        <v>140</v>
      </c>
      <c r="G17" s="60">
        <v>950</v>
      </c>
      <c r="H17" s="20">
        <v>4</v>
      </c>
      <c r="I17" s="20" t="s">
        <v>17</v>
      </c>
      <c r="J17" s="20">
        <v>2</v>
      </c>
      <c r="K17" s="34"/>
      <c r="L17" s="20"/>
      <c r="M17" s="20" t="s">
        <v>22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108" s="19" customFormat="1" ht="111" customHeight="1">
      <c r="A18" s="25" t="s">
        <v>13</v>
      </c>
      <c r="B18" s="20"/>
      <c r="C18" s="20" t="s">
        <v>488</v>
      </c>
      <c r="D18" s="20" t="s">
        <v>489</v>
      </c>
      <c r="E18" s="20">
        <v>1</v>
      </c>
      <c r="F18" s="20" t="s">
        <v>143</v>
      </c>
      <c r="G18" s="60">
        <v>1300</v>
      </c>
      <c r="H18" s="20">
        <v>4</v>
      </c>
      <c r="I18" s="20" t="s">
        <v>17</v>
      </c>
      <c r="J18" s="20">
        <v>2</v>
      </c>
      <c r="K18" s="34"/>
      <c r="L18" s="20"/>
      <c r="M18" s="20" t="s">
        <v>22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108" s="20" customFormat="1" ht="115.5" customHeight="1">
      <c r="A19" s="25" t="s">
        <v>13</v>
      </c>
      <c r="B19" s="20" t="s">
        <v>307</v>
      </c>
      <c r="C19" s="20" t="s">
        <v>488</v>
      </c>
      <c r="D19" s="20" t="s">
        <v>490</v>
      </c>
      <c r="E19" s="20">
        <v>2</v>
      </c>
      <c r="F19" s="20" t="s">
        <v>309</v>
      </c>
      <c r="G19" s="60">
        <v>1300</v>
      </c>
      <c r="I19" s="20" t="s">
        <v>17</v>
      </c>
      <c r="J19" s="20">
        <v>2</v>
      </c>
      <c r="K19" s="34"/>
      <c r="M19" s="20" t="s">
        <v>22</v>
      </c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1"/>
      <c r="DA19" s="71"/>
      <c r="DB19" s="71"/>
      <c r="DC19" s="71"/>
      <c r="DD19" s="76"/>
    </row>
    <row r="20" spans="1:108" s="19" customFormat="1" ht="86.25" customHeight="1">
      <c r="A20" s="25" t="s">
        <v>13</v>
      </c>
      <c r="B20" s="20"/>
      <c r="C20" s="20" t="s">
        <v>491</v>
      </c>
      <c r="D20" s="20" t="s">
        <v>489</v>
      </c>
      <c r="E20" s="20">
        <v>1</v>
      </c>
      <c r="F20" s="20" t="s">
        <v>21</v>
      </c>
      <c r="G20" s="60">
        <v>1300</v>
      </c>
      <c r="H20" s="20">
        <v>4</v>
      </c>
      <c r="I20" s="20" t="s">
        <v>17</v>
      </c>
      <c r="J20" s="20">
        <v>2</v>
      </c>
      <c r="K20" s="34"/>
      <c r="L20" s="20"/>
      <c r="M20" s="20" t="s">
        <v>22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108" s="19" customFormat="1" ht="97.5" customHeight="1">
      <c r="A21" s="25" t="s">
        <v>13</v>
      </c>
      <c r="B21" s="20"/>
      <c r="C21" s="20" t="s">
        <v>433</v>
      </c>
      <c r="D21" s="20" t="s">
        <v>492</v>
      </c>
      <c r="E21" s="20">
        <v>1</v>
      </c>
      <c r="F21" s="20" t="s">
        <v>21</v>
      </c>
      <c r="G21" s="60">
        <v>1300</v>
      </c>
      <c r="H21" s="20" t="s">
        <v>147</v>
      </c>
      <c r="I21" s="20" t="s">
        <v>17</v>
      </c>
      <c r="J21" s="20">
        <v>2</v>
      </c>
      <c r="K21" s="34"/>
      <c r="L21" s="20"/>
      <c r="M21" s="20" t="s">
        <v>22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108" s="19" customFormat="1" ht="105">
      <c r="A22" s="20" t="s">
        <v>73</v>
      </c>
      <c r="B22" s="20"/>
      <c r="C22" s="20" t="s">
        <v>493</v>
      </c>
      <c r="D22" s="34" t="s">
        <v>494</v>
      </c>
      <c r="E22" s="20">
        <v>1</v>
      </c>
      <c r="F22" s="20" t="s">
        <v>76</v>
      </c>
      <c r="G22" s="60">
        <v>600</v>
      </c>
      <c r="H22" s="20">
        <v>5</v>
      </c>
      <c r="I22" s="20" t="s">
        <v>77</v>
      </c>
      <c r="J22" s="20"/>
      <c r="K22" s="20"/>
      <c r="L22" s="20"/>
      <c r="M22" s="20" t="s">
        <v>78</v>
      </c>
    </row>
    <row r="23" spans="1:108" s="19" customFormat="1" ht="89.25" customHeight="1">
      <c r="A23" s="25" t="s">
        <v>13</v>
      </c>
      <c r="B23" s="54" t="s">
        <v>495</v>
      </c>
      <c r="C23" s="20" t="s">
        <v>496</v>
      </c>
      <c r="D23" s="20" t="s">
        <v>497</v>
      </c>
      <c r="E23" s="20">
        <v>4</v>
      </c>
      <c r="F23" s="20" t="s">
        <v>72</v>
      </c>
      <c r="G23" s="60">
        <v>3800</v>
      </c>
      <c r="H23" s="20">
        <v>4</v>
      </c>
      <c r="I23" s="20" t="s">
        <v>17</v>
      </c>
      <c r="J23" s="20">
        <v>2</v>
      </c>
      <c r="K23" s="34"/>
      <c r="L23" s="20"/>
      <c r="M23" s="20" t="s">
        <v>18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108" s="19" customFormat="1" ht="84" customHeight="1">
      <c r="A24" s="25" t="s">
        <v>13</v>
      </c>
      <c r="B24" s="20" t="s">
        <v>66</v>
      </c>
      <c r="C24" s="20" t="s">
        <v>498</v>
      </c>
      <c r="D24" s="20" t="s">
        <v>499</v>
      </c>
      <c r="E24" s="20">
        <v>1</v>
      </c>
      <c r="F24" s="20" t="s">
        <v>16</v>
      </c>
      <c r="G24" s="60">
        <v>950</v>
      </c>
      <c r="H24" s="20">
        <v>4</v>
      </c>
      <c r="I24" s="20" t="s">
        <v>17</v>
      </c>
      <c r="J24" s="20">
        <v>2</v>
      </c>
      <c r="K24" s="34"/>
      <c r="L24" s="20"/>
      <c r="M24" s="20" t="s">
        <v>18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108" s="19" customFormat="1" ht="102" customHeight="1">
      <c r="A25" s="25" t="s">
        <v>13</v>
      </c>
      <c r="B25" s="20" t="s">
        <v>66</v>
      </c>
      <c r="C25" s="20" t="s">
        <v>500</v>
      </c>
      <c r="D25" s="20" t="s">
        <v>501</v>
      </c>
      <c r="E25" s="20">
        <v>1</v>
      </c>
      <c r="F25" s="20" t="s">
        <v>25</v>
      </c>
      <c r="G25" s="60">
        <v>950</v>
      </c>
      <c r="H25" s="20">
        <v>4</v>
      </c>
      <c r="I25" s="20" t="s">
        <v>17</v>
      </c>
      <c r="J25" s="20">
        <v>2</v>
      </c>
      <c r="K25" s="34">
        <v>44568</v>
      </c>
      <c r="L25" s="20"/>
      <c r="M25" s="20" t="s">
        <v>22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108" s="19" customFormat="1" ht="80.25" customHeight="1">
      <c r="A26" s="25" t="s">
        <v>13</v>
      </c>
      <c r="B26" s="79" t="s">
        <v>110</v>
      </c>
      <c r="C26" s="20" t="s">
        <v>502</v>
      </c>
      <c r="D26" s="20" t="s">
        <v>503</v>
      </c>
      <c r="E26" s="20">
        <v>1</v>
      </c>
      <c r="F26" s="20" t="s">
        <v>113</v>
      </c>
      <c r="G26" s="60">
        <v>1300</v>
      </c>
      <c r="H26" s="20">
        <v>30</v>
      </c>
      <c r="I26" s="20" t="s">
        <v>17</v>
      </c>
      <c r="J26" s="20">
        <v>2</v>
      </c>
      <c r="K26" s="34">
        <v>45064</v>
      </c>
      <c r="L26" s="20"/>
      <c r="M26" s="20" t="s">
        <v>33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108" s="19" customFormat="1" ht="93.75" customHeight="1">
      <c r="A27" s="25" t="s">
        <v>13</v>
      </c>
      <c r="B27" s="56" t="s">
        <v>114</v>
      </c>
      <c r="C27" s="20" t="s">
        <v>504</v>
      </c>
      <c r="D27" s="20" t="s">
        <v>505</v>
      </c>
      <c r="E27" s="20">
        <v>1</v>
      </c>
      <c r="F27" s="20" t="s">
        <v>117</v>
      </c>
      <c r="G27" s="60">
        <v>950</v>
      </c>
      <c r="H27" s="20">
        <v>30</v>
      </c>
      <c r="I27" s="20" t="s">
        <v>17</v>
      </c>
      <c r="J27" s="20">
        <v>2</v>
      </c>
      <c r="K27" s="34">
        <v>45040</v>
      </c>
      <c r="L27" s="20"/>
      <c r="M27" s="20" t="s">
        <v>33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108" ht="42" customHeight="1">
      <c r="A28" s="90"/>
      <c r="B28" s="90"/>
      <c r="C28" s="90"/>
      <c r="D28" s="90"/>
      <c r="E28" s="90"/>
      <c r="F28" s="90"/>
      <c r="G28" s="92">
        <f>SUM(G2:G27)</f>
        <v>34210</v>
      </c>
      <c r="H28" s="90"/>
      <c r="I28" s="90"/>
      <c r="J28" s="90"/>
      <c r="K28" s="90"/>
      <c r="L28" s="90"/>
      <c r="M28" s="90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10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108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</sheetData>
  <autoFilter ref="A1:DD28" xr:uid="{00000000-0009-0000-0000-00000B000000}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/>
  <dimension ref="A1:DD26"/>
  <sheetViews>
    <sheetView workbookViewId="0">
      <selection activeCell="J29" sqref="J29"/>
    </sheetView>
  </sheetViews>
  <sheetFormatPr defaultColWidth="9" defaultRowHeight="15"/>
  <cols>
    <col min="1" max="1" width="21.28515625" customWidth="1"/>
    <col min="2" max="2" width="17.140625" customWidth="1"/>
    <col min="3" max="4" width="14.5703125" customWidth="1"/>
    <col min="5" max="5" width="10.85546875" customWidth="1"/>
    <col min="6" max="6" width="24.42578125" customWidth="1"/>
    <col min="7" max="7" width="12.28515625" customWidth="1"/>
    <col min="9" max="9" width="15.140625" customWidth="1"/>
    <col min="10" max="10" width="12.85546875" customWidth="1"/>
    <col min="11" max="11" width="10.85546875" customWidth="1"/>
    <col min="13" max="13" width="58.140625" customWidth="1"/>
  </cols>
  <sheetData>
    <row r="1" spans="1:108" s="58" customFormat="1" ht="70.5" customHeight="1">
      <c r="A1" s="5" t="s">
        <v>0</v>
      </c>
      <c r="B1" s="7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</row>
    <row r="2" spans="1:108" s="59" customFormat="1" ht="115.5" customHeight="1">
      <c r="A2" s="82" t="s">
        <v>13</v>
      </c>
      <c r="B2" s="83" t="s">
        <v>506</v>
      </c>
      <c r="C2" s="84"/>
      <c r="D2" s="84" t="s">
        <v>507</v>
      </c>
      <c r="E2" s="84">
        <v>1</v>
      </c>
      <c r="F2" s="85" t="s">
        <v>508</v>
      </c>
      <c r="G2" s="66">
        <v>1300</v>
      </c>
      <c r="I2" s="59" t="s">
        <v>17</v>
      </c>
      <c r="J2" s="59">
        <v>2</v>
      </c>
      <c r="K2" s="73">
        <v>45281</v>
      </c>
      <c r="M2" s="59" t="s">
        <v>22</v>
      </c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7"/>
    </row>
    <row r="3" spans="1:108" s="59" customFormat="1" ht="115.5" customHeight="1">
      <c r="A3" s="86" t="s">
        <v>13</v>
      </c>
      <c r="B3" s="83" t="s">
        <v>509</v>
      </c>
      <c r="C3" s="87" t="s">
        <v>510</v>
      </c>
      <c r="D3" s="87" t="s">
        <v>511</v>
      </c>
      <c r="E3" s="87">
        <v>1</v>
      </c>
      <c r="F3" s="88" t="s">
        <v>512</v>
      </c>
      <c r="G3" s="60">
        <v>950</v>
      </c>
      <c r="H3" s="20"/>
      <c r="I3" s="20" t="s">
        <v>17</v>
      </c>
      <c r="J3" s="20">
        <v>2</v>
      </c>
      <c r="K3" s="34">
        <v>45281</v>
      </c>
      <c r="L3" s="20"/>
      <c r="M3" s="20" t="s">
        <v>22</v>
      </c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74"/>
      <c r="BY3" s="74"/>
      <c r="BZ3" s="74"/>
      <c r="CA3" s="74"/>
      <c r="CB3" s="74"/>
      <c r="CC3" s="74"/>
      <c r="CD3" s="74"/>
      <c r="CE3" s="74"/>
      <c r="CF3" s="74"/>
      <c r="CG3" s="74"/>
      <c r="CH3" s="74"/>
      <c r="CI3" s="74"/>
      <c r="CJ3" s="74"/>
      <c r="CK3" s="74"/>
      <c r="CL3" s="74"/>
      <c r="CM3" s="74"/>
      <c r="CN3" s="74"/>
      <c r="CO3" s="74"/>
      <c r="CP3" s="74"/>
      <c r="CQ3" s="74"/>
      <c r="CR3" s="74"/>
      <c r="CS3" s="74"/>
      <c r="CT3" s="74"/>
      <c r="CU3" s="74"/>
      <c r="CV3" s="74"/>
      <c r="CW3" s="74"/>
      <c r="CX3" s="74"/>
      <c r="CY3" s="74"/>
      <c r="CZ3" s="74"/>
      <c r="DA3" s="74"/>
      <c r="DB3" s="74"/>
      <c r="DC3" s="74"/>
      <c r="DD3" s="77"/>
    </row>
    <row r="4" spans="1:108" s="59" customFormat="1" ht="115.5" customHeight="1">
      <c r="A4" s="25" t="s">
        <v>13</v>
      </c>
      <c r="B4" s="54"/>
      <c r="C4" s="20" t="s">
        <v>513</v>
      </c>
      <c r="D4" s="20" t="s">
        <v>514</v>
      </c>
      <c r="E4" s="20">
        <v>1</v>
      </c>
      <c r="F4" s="20" t="s">
        <v>463</v>
      </c>
      <c r="G4" s="60">
        <v>950</v>
      </c>
      <c r="H4" s="20"/>
      <c r="I4" s="20" t="s">
        <v>17</v>
      </c>
      <c r="J4" s="20">
        <v>2</v>
      </c>
      <c r="K4" s="34"/>
      <c r="L4" s="20"/>
      <c r="M4" s="20" t="s">
        <v>22</v>
      </c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BZ4" s="74"/>
      <c r="CA4" s="74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4"/>
      <c r="CM4" s="74"/>
      <c r="CN4" s="74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4"/>
      <c r="CZ4" s="74"/>
      <c r="DA4" s="74"/>
      <c r="DB4" s="74"/>
      <c r="DC4" s="74"/>
      <c r="DD4" s="77"/>
    </row>
    <row r="5" spans="1:108" s="59" customFormat="1" ht="115.5" customHeight="1">
      <c r="A5" s="25" t="s">
        <v>13</v>
      </c>
      <c r="B5" s="54" t="s">
        <v>515</v>
      </c>
      <c r="C5" s="20" t="s">
        <v>516</v>
      </c>
      <c r="D5" s="20" t="s">
        <v>517</v>
      </c>
      <c r="E5" s="20">
        <v>1</v>
      </c>
      <c r="F5" s="20" t="s">
        <v>518</v>
      </c>
      <c r="G5" s="60">
        <v>950</v>
      </c>
      <c r="H5" s="20"/>
      <c r="I5" s="20" t="s">
        <v>17</v>
      </c>
      <c r="J5" s="20">
        <v>2</v>
      </c>
      <c r="K5" s="34"/>
      <c r="L5" s="20"/>
      <c r="M5" s="20" t="s">
        <v>22</v>
      </c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  <c r="BS5" s="74"/>
      <c r="BT5" s="74"/>
      <c r="BU5" s="74"/>
      <c r="BV5" s="74"/>
      <c r="BW5" s="74"/>
      <c r="BX5" s="74"/>
      <c r="BY5" s="74"/>
      <c r="BZ5" s="74"/>
      <c r="CA5" s="74"/>
      <c r="CB5" s="74"/>
      <c r="CC5" s="74"/>
      <c r="CD5" s="74"/>
      <c r="CE5" s="74"/>
      <c r="CF5" s="74"/>
      <c r="CG5" s="74"/>
      <c r="CH5" s="74"/>
      <c r="CI5" s="74"/>
      <c r="CJ5" s="74"/>
      <c r="CK5" s="74"/>
      <c r="CL5" s="74"/>
      <c r="CM5" s="74"/>
      <c r="CN5" s="74"/>
      <c r="CO5" s="74"/>
      <c r="CP5" s="74"/>
      <c r="CQ5" s="74"/>
      <c r="CR5" s="74"/>
      <c r="CS5" s="74"/>
      <c r="CT5" s="74"/>
      <c r="CU5" s="74"/>
      <c r="CV5" s="74"/>
      <c r="CW5" s="74"/>
      <c r="CX5" s="74"/>
      <c r="CY5" s="74"/>
      <c r="CZ5" s="74"/>
      <c r="DA5" s="74"/>
      <c r="DB5" s="74"/>
      <c r="DC5" s="74"/>
      <c r="DD5" s="77"/>
    </row>
    <row r="6" spans="1:108" s="59" customFormat="1" ht="115.5" customHeight="1">
      <c r="A6" s="25" t="s">
        <v>13</v>
      </c>
      <c r="B6" s="54" t="s">
        <v>519</v>
      </c>
      <c r="C6" s="20"/>
      <c r="D6" s="20" t="s">
        <v>520</v>
      </c>
      <c r="E6" s="20">
        <v>1</v>
      </c>
      <c r="F6" s="20" t="s">
        <v>521</v>
      </c>
      <c r="G6" s="60">
        <v>950</v>
      </c>
      <c r="H6" s="20"/>
      <c r="I6" s="20" t="s">
        <v>17</v>
      </c>
      <c r="J6" s="20">
        <v>2</v>
      </c>
      <c r="K6" s="34"/>
      <c r="L6" s="20"/>
      <c r="M6" s="20" t="s">
        <v>22</v>
      </c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/>
      <c r="BR6" s="74"/>
      <c r="BS6" s="74"/>
      <c r="BT6" s="74"/>
      <c r="BU6" s="74"/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  <c r="DA6" s="74"/>
      <c r="DB6" s="74"/>
      <c r="DC6" s="74"/>
      <c r="DD6" s="77"/>
    </row>
    <row r="7" spans="1:108" s="20" customFormat="1" ht="115.5" customHeight="1">
      <c r="A7" s="25" t="s">
        <v>13</v>
      </c>
      <c r="B7" s="20" t="s">
        <v>324</v>
      </c>
      <c r="C7" s="20" t="s">
        <v>522</v>
      </c>
      <c r="D7" s="20" t="s">
        <v>523</v>
      </c>
      <c r="E7" s="20">
        <v>1</v>
      </c>
      <c r="F7" s="20" t="s">
        <v>327</v>
      </c>
      <c r="G7" s="60">
        <v>950</v>
      </c>
      <c r="I7" s="20" t="s">
        <v>17</v>
      </c>
      <c r="J7" s="20">
        <v>2</v>
      </c>
      <c r="K7" s="34"/>
      <c r="M7" s="20" t="s">
        <v>22</v>
      </c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1"/>
      <c r="DA7" s="71"/>
      <c r="DB7" s="71"/>
      <c r="DC7" s="71"/>
      <c r="DD7" s="76"/>
    </row>
    <row r="8" spans="1:108" s="20" customFormat="1" ht="115.5" customHeight="1">
      <c r="A8" s="25" t="s">
        <v>13</v>
      </c>
      <c r="B8" s="20" t="s">
        <v>276</v>
      </c>
      <c r="C8" s="20" t="s">
        <v>524</v>
      </c>
      <c r="D8" s="20" t="s">
        <v>525</v>
      </c>
      <c r="E8" s="20">
        <v>4</v>
      </c>
      <c r="F8" s="20" t="s">
        <v>279</v>
      </c>
      <c r="G8" s="60">
        <v>3800</v>
      </c>
      <c r="I8" s="20" t="s">
        <v>17</v>
      </c>
      <c r="J8" s="20">
        <v>2</v>
      </c>
      <c r="K8" s="34"/>
      <c r="M8" s="20" t="s">
        <v>22</v>
      </c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1"/>
      <c r="DA8" s="71"/>
      <c r="DB8" s="71"/>
      <c r="DC8" s="71"/>
      <c r="DD8" s="76"/>
    </row>
    <row r="9" spans="1:108" s="20" customFormat="1" ht="115.5" customHeight="1">
      <c r="A9" s="25" t="s">
        <v>13</v>
      </c>
      <c r="B9" s="51"/>
      <c r="C9" s="20" t="s">
        <v>526</v>
      </c>
      <c r="D9" s="20" t="s">
        <v>527</v>
      </c>
      <c r="E9" s="20">
        <v>2</v>
      </c>
      <c r="F9" s="20" t="s">
        <v>219</v>
      </c>
      <c r="G9" s="60">
        <v>1960</v>
      </c>
      <c r="I9" s="20" t="s">
        <v>17</v>
      </c>
      <c r="J9" s="20">
        <v>2</v>
      </c>
      <c r="K9" s="34"/>
      <c r="M9" s="20" t="s">
        <v>22</v>
      </c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71"/>
      <c r="DA9" s="71"/>
      <c r="DB9" s="71"/>
      <c r="DC9" s="71"/>
      <c r="DD9" s="76"/>
    </row>
    <row r="10" spans="1:108" s="20" customFormat="1" ht="115.5" customHeight="1">
      <c r="A10" s="25" t="s">
        <v>13</v>
      </c>
      <c r="B10" s="20" t="s">
        <v>234</v>
      </c>
      <c r="C10" s="20" t="s">
        <v>528</v>
      </c>
      <c r="D10" s="20" t="s">
        <v>529</v>
      </c>
      <c r="E10" s="20">
        <v>1</v>
      </c>
      <c r="F10" s="20" t="s">
        <v>237</v>
      </c>
      <c r="G10" s="60">
        <v>1300</v>
      </c>
      <c r="I10" s="20" t="s">
        <v>17</v>
      </c>
      <c r="J10" s="20">
        <v>2</v>
      </c>
      <c r="K10" s="34"/>
      <c r="M10" s="20" t="s">
        <v>22</v>
      </c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6"/>
    </row>
    <row r="11" spans="1:108" s="20" customFormat="1" ht="115.5" customHeight="1">
      <c r="A11" s="25" t="s">
        <v>13</v>
      </c>
      <c r="B11" s="20" t="s">
        <v>238</v>
      </c>
      <c r="C11" s="20" t="s">
        <v>530</v>
      </c>
      <c r="D11" s="20" t="s">
        <v>531</v>
      </c>
      <c r="E11" s="20">
        <v>1</v>
      </c>
      <c r="F11" s="20" t="s">
        <v>241</v>
      </c>
      <c r="G11" s="60">
        <v>1300</v>
      </c>
      <c r="I11" s="20" t="s">
        <v>17</v>
      </c>
      <c r="J11" s="20">
        <v>2</v>
      </c>
      <c r="K11" s="34"/>
      <c r="M11" s="20" t="s">
        <v>22</v>
      </c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  <c r="CT11" s="71"/>
      <c r="CU11" s="71"/>
      <c r="CV11" s="71"/>
      <c r="CW11" s="71"/>
      <c r="CX11" s="71"/>
      <c r="CY11" s="71"/>
      <c r="CZ11" s="71"/>
      <c r="DA11" s="71"/>
      <c r="DB11" s="71"/>
      <c r="DC11" s="71"/>
      <c r="DD11" s="76"/>
    </row>
    <row r="12" spans="1:108" s="20" customFormat="1" ht="115.5" customHeight="1">
      <c r="A12" s="25" t="s">
        <v>13</v>
      </c>
      <c r="B12" s="20" t="s">
        <v>238</v>
      </c>
      <c r="C12" s="20" t="s">
        <v>532</v>
      </c>
      <c r="D12" s="20" t="s">
        <v>531</v>
      </c>
      <c r="E12" s="20">
        <v>1</v>
      </c>
      <c r="F12" s="20" t="s">
        <v>245</v>
      </c>
      <c r="G12" s="60">
        <v>1300</v>
      </c>
      <c r="I12" s="20" t="s">
        <v>17</v>
      </c>
      <c r="J12" s="20">
        <v>2</v>
      </c>
      <c r="K12" s="34"/>
      <c r="M12" s="20" t="s">
        <v>22</v>
      </c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/>
      <c r="CT12" s="71"/>
      <c r="CU12" s="71"/>
      <c r="CV12" s="71"/>
      <c r="CW12" s="71"/>
      <c r="CX12" s="71"/>
      <c r="CY12" s="71"/>
      <c r="CZ12" s="71"/>
      <c r="DA12" s="71"/>
      <c r="DB12" s="71"/>
      <c r="DC12" s="71"/>
      <c r="DD12" s="76"/>
    </row>
    <row r="13" spans="1:108" s="19" customFormat="1" ht="108.75" customHeight="1">
      <c r="A13" s="25" t="s">
        <v>13</v>
      </c>
      <c r="B13" s="20"/>
      <c r="C13" s="20" t="s">
        <v>533</v>
      </c>
      <c r="D13" s="20" t="s">
        <v>534</v>
      </c>
      <c r="E13" s="20">
        <v>1</v>
      </c>
      <c r="F13" s="20" t="s">
        <v>483</v>
      </c>
      <c r="G13" s="60">
        <v>1300</v>
      </c>
      <c r="H13" s="20">
        <v>16</v>
      </c>
      <c r="I13" s="20" t="s">
        <v>17</v>
      </c>
      <c r="J13" s="20">
        <v>2</v>
      </c>
      <c r="K13" s="34">
        <v>45134</v>
      </c>
      <c r="L13" s="20"/>
      <c r="M13" s="20" t="s">
        <v>172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108" s="19" customFormat="1" ht="111" customHeight="1">
      <c r="A14" s="89" t="s">
        <v>13</v>
      </c>
      <c r="B14" s="20"/>
      <c r="C14" s="59" t="s">
        <v>488</v>
      </c>
      <c r="D14" s="59" t="s">
        <v>535</v>
      </c>
      <c r="E14" s="59">
        <v>1</v>
      </c>
      <c r="F14" s="59" t="s">
        <v>143</v>
      </c>
      <c r="G14" s="66">
        <v>1300</v>
      </c>
      <c r="H14" s="59">
        <v>4</v>
      </c>
      <c r="I14" s="59" t="s">
        <v>17</v>
      </c>
      <c r="J14" s="59">
        <v>2</v>
      </c>
      <c r="K14" s="73"/>
      <c r="L14" s="59"/>
      <c r="M14" s="59" t="s">
        <v>22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108" s="20" customFormat="1" ht="115.5" customHeight="1">
      <c r="A15" s="25" t="s">
        <v>13</v>
      </c>
      <c r="B15" s="20" t="s">
        <v>307</v>
      </c>
      <c r="C15" s="20" t="s">
        <v>536</v>
      </c>
      <c r="D15" s="20" t="s">
        <v>537</v>
      </c>
      <c r="E15" s="20">
        <v>2</v>
      </c>
      <c r="F15" s="20" t="s">
        <v>309</v>
      </c>
      <c r="G15" s="60">
        <v>1300</v>
      </c>
      <c r="I15" s="20" t="s">
        <v>17</v>
      </c>
      <c r="J15" s="20">
        <v>2</v>
      </c>
      <c r="K15" s="34"/>
      <c r="M15" s="20" t="s">
        <v>22</v>
      </c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  <c r="CP15" s="71"/>
      <c r="CQ15" s="71"/>
      <c r="CR15" s="71"/>
      <c r="CS15" s="71"/>
      <c r="CT15" s="71"/>
      <c r="CU15" s="71"/>
      <c r="CV15" s="71"/>
      <c r="CW15" s="71"/>
      <c r="CX15" s="71"/>
      <c r="CY15" s="71"/>
      <c r="CZ15" s="71"/>
      <c r="DA15" s="71"/>
      <c r="DB15" s="71"/>
      <c r="DC15" s="71"/>
      <c r="DD15" s="76"/>
    </row>
    <row r="16" spans="1:108" s="19" customFormat="1" ht="86.25" customHeight="1">
      <c r="A16" s="25" t="s">
        <v>13</v>
      </c>
      <c r="B16" s="20"/>
      <c r="C16" s="20" t="s">
        <v>538</v>
      </c>
      <c r="D16" s="20" t="s">
        <v>539</v>
      </c>
      <c r="E16" s="20">
        <v>1</v>
      </c>
      <c r="F16" s="20" t="s">
        <v>21</v>
      </c>
      <c r="G16" s="60">
        <v>1300</v>
      </c>
      <c r="H16" s="20">
        <v>4</v>
      </c>
      <c r="I16" s="20" t="s">
        <v>17</v>
      </c>
      <c r="J16" s="20">
        <v>2</v>
      </c>
      <c r="K16" s="34"/>
      <c r="L16" s="20"/>
      <c r="M16" s="20" t="s">
        <v>22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s="19" customFormat="1" ht="97.5" customHeight="1">
      <c r="A17" s="25" t="s">
        <v>13</v>
      </c>
      <c r="B17" s="20"/>
      <c r="C17" s="20" t="s">
        <v>538</v>
      </c>
      <c r="D17" s="20" t="s">
        <v>540</v>
      </c>
      <c r="E17" s="20">
        <v>1</v>
      </c>
      <c r="F17" s="20" t="s">
        <v>21</v>
      </c>
      <c r="G17" s="60">
        <v>1300</v>
      </c>
      <c r="H17" s="20" t="s">
        <v>147</v>
      </c>
      <c r="I17" s="20" t="s">
        <v>17</v>
      </c>
      <c r="J17" s="20">
        <v>2</v>
      </c>
      <c r="K17" s="34"/>
      <c r="L17" s="20"/>
      <c r="M17" s="20" t="s">
        <v>22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s="19" customFormat="1" ht="105">
      <c r="A18" s="20" t="s">
        <v>73</v>
      </c>
      <c r="B18" s="20"/>
      <c r="C18" s="20" t="s">
        <v>541</v>
      </c>
      <c r="D18" s="34" t="s">
        <v>542</v>
      </c>
      <c r="E18" s="20">
        <v>1</v>
      </c>
      <c r="F18" s="20" t="s">
        <v>76</v>
      </c>
      <c r="G18" s="60">
        <v>600</v>
      </c>
      <c r="H18" s="20">
        <v>5</v>
      </c>
      <c r="I18" s="20" t="s">
        <v>77</v>
      </c>
      <c r="J18" s="20"/>
      <c r="K18" s="20"/>
      <c r="L18" s="20"/>
      <c r="M18" s="20" t="s">
        <v>78</v>
      </c>
    </row>
    <row r="19" spans="1:28" s="19" customFormat="1" ht="89.25" customHeight="1">
      <c r="A19" s="25" t="s">
        <v>13</v>
      </c>
      <c r="B19" s="54" t="s">
        <v>543</v>
      </c>
      <c r="C19" s="20" t="s">
        <v>544</v>
      </c>
      <c r="D19" s="20" t="s">
        <v>545</v>
      </c>
      <c r="E19" s="20">
        <v>2</v>
      </c>
      <c r="F19" s="20" t="s">
        <v>72</v>
      </c>
      <c r="G19" s="60">
        <v>1900</v>
      </c>
      <c r="H19" s="20">
        <v>4</v>
      </c>
      <c r="I19" s="20" t="s">
        <v>17</v>
      </c>
      <c r="J19" s="20">
        <v>2</v>
      </c>
      <c r="K19" s="34"/>
      <c r="L19" s="20"/>
      <c r="M19" s="20" t="s">
        <v>18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s="19" customFormat="1" ht="84" customHeight="1">
      <c r="A20" s="25" t="s">
        <v>13</v>
      </c>
      <c r="B20" s="54" t="s">
        <v>546</v>
      </c>
      <c r="C20" s="20" t="s">
        <v>547</v>
      </c>
      <c r="D20" s="20" t="s">
        <v>548</v>
      </c>
      <c r="E20" s="20">
        <v>1</v>
      </c>
      <c r="F20" s="20" t="s">
        <v>16</v>
      </c>
      <c r="G20" s="60">
        <v>950</v>
      </c>
      <c r="H20" s="20">
        <v>4</v>
      </c>
      <c r="I20" s="20" t="s">
        <v>17</v>
      </c>
      <c r="J20" s="20">
        <v>2</v>
      </c>
      <c r="K20" s="34"/>
      <c r="L20" s="20"/>
      <c r="M20" s="20" t="s">
        <v>18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s="19" customFormat="1" ht="102" customHeight="1">
      <c r="A21" s="25" t="s">
        <v>13</v>
      </c>
      <c r="B21" s="20" t="s">
        <v>66</v>
      </c>
      <c r="C21" s="20" t="s">
        <v>549</v>
      </c>
      <c r="D21" s="20" t="s">
        <v>550</v>
      </c>
      <c r="E21" s="20">
        <v>1</v>
      </c>
      <c r="F21" s="20" t="s">
        <v>25</v>
      </c>
      <c r="G21" s="60">
        <v>950</v>
      </c>
      <c r="H21" s="20">
        <v>4</v>
      </c>
      <c r="I21" s="20" t="s">
        <v>17</v>
      </c>
      <c r="J21" s="20">
        <v>2</v>
      </c>
      <c r="K21" s="34">
        <v>44568</v>
      </c>
      <c r="L21" s="20"/>
      <c r="M21" s="20" t="s">
        <v>22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s="19" customFormat="1" ht="80.25" customHeight="1">
      <c r="A22" s="25" t="s">
        <v>13</v>
      </c>
      <c r="B22" s="79" t="s">
        <v>110</v>
      </c>
      <c r="C22" s="20" t="s">
        <v>551</v>
      </c>
      <c r="D22" s="20" t="s">
        <v>552</v>
      </c>
      <c r="E22" s="20">
        <v>1</v>
      </c>
      <c r="F22" s="20" t="s">
        <v>113</v>
      </c>
      <c r="G22" s="60">
        <v>1300</v>
      </c>
      <c r="H22" s="20">
        <v>30</v>
      </c>
      <c r="I22" s="20" t="s">
        <v>17</v>
      </c>
      <c r="J22" s="20">
        <v>2</v>
      </c>
      <c r="K22" s="34">
        <v>45064</v>
      </c>
      <c r="L22" s="20"/>
      <c r="M22" s="20" t="s">
        <v>33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s="19" customFormat="1" ht="93.75" customHeight="1">
      <c r="A23" s="25" t="s">
        <v>13</v>
      </c>
      <c r="B23" s="56" t="s">
        <v>114</v>
      </c>
      <c r="C23" s="20" t="s">
        <v>553</v>
      </c>
      <c r="D23" s="20" t="s">
        <v>554</v>
      </c>
      <c r="E23" s="20">
        <v>1</v>
      </c>
      <c r="F23" s="20" t="s">
        <v>117</v>
      </c>
      <c r="G23" s="60">
        <v>950</v>
      </c>
      <c r="H23" s="20">
        <v>30</v>
      </c>
      <c r="I23" s="20" t="s">
        <v>17</v>
      </c>
      <c r="J23" s="20">
        <v>2</v>
      </c>
      <c r="K23" s="34">
        <v>45040</v>
      </c>
      <c r="L23" s="20"/>
      <c r="M23" s="20" t="s">
        <v>33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42" customHeight="1">
      <c r="A24" s="90"/>
      <c r="B24" s="90"/>
      <c r="C24" s="90"/>
      <c r="D24" s="90"/>
      <c r="E24" s="91">
        <f>SUM(E2:E23)</f>
        <v>28</v>
      </c>
      <c r="F24" s="90"/>
      <c r="G24" s="92">
        <f>SUM(G2:G23)</f>
        <v>28860</v>
      </c>
      <c r="H24" s="90"/>
      <c r="I24" s="90"/>
      <c r="J24" s="90"/>
      <c r="K24" s="90"/>
      <c r="L24" s="90"/>
      <c r="M24" s="9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</sheetData>
  <autoFilter ref="A1:DD24" xr:uid="{00000000-0009-0000-0000-00000C000000}"/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4"/>
  <dimension ref="A1:DD24"/>
  <sheetViews>
    <sheetView topLeftCell="A19" workbookViewId="0">
      <selection activeCell="C2" sqref="C2"/>
    </sheetView>
  </sheetViews>
  <sheetFormatPr defaultColWidth="9" defaultRowHeight="15"/>
  <cols>
    <col min="1" max="1" width="21.28515625" customWidth="1"/>
    <col min="2" max="2" width="17.140625" customWidth="1"/>
    <col min="3" max="4" width="14.5703125" customWidth="1"/>
    <col min="5" max="5" width="10.85546875" customWidth="1"/>
    <col min="6" max="6" width="24.42578125" customWidth="1"/>
    <col min="7" max="7" width="12.28515625" customWidth="1"/>
    <col min="9" max="9" width="15.140625" customWidth="1"/>
    <col min="10" max="10" width="12.85546875" customWidth="1"/>
    <col min="11" max="11" width="10.85546875" customWidth="1"/>
    <col min="13" max="13" width="58.140625" customWidth="1"/>
  </cols>
  <sheetData>
    <row r="1" spans="1:108" s="58" customFormat="1" ht="70.5" customHeight="1">
      <c r="A1" s="5" t="s">
        <v>0</v>
      </c>
      <c r="B1" s="7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</row>
    <row r="2" spans="1:108" s="59" customFormat="1" ht="115.5" customHeight="1">
      <c r="A2" s="25" t="s">
        <v>13</v>
      </c>
      <c r="B2" s="51"/>
      <c r="C2" s="20" t="s">
        <v>555</v>
      </c>
      <c r="D2" s="20" t="s">
        <v>556</v>
      </c>
      <c r="E2" s="20">
        <v>1</v>
      </c>
      <c r="F2" s="20" t="s">
        <v>463</v>
      </c>
      <c r="G2" s="60">
        <v>950</v>
      </c>
      <c r="H2" s="20"/>
      <c r="I2" s="20" t="s">
        <v>17</v>
      </c>
      <c r="J2" s="20">
        <v>2</v>
      </c>
      <c r="K2" s="34"/>
      <c r="L2" s="20"/>
      <c r="M2" s="20" t="s">
        <v>22</v>
      </c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7"/>
    </row>
    <row r="3" spans="1:108" s="20" customFormat="1" ht="115.5" customHeight="1">
      <c r="A3" s="25" t="s">
        <v>13</v>
      </c>
      <c r="B3" s="20" t="s">
        <v>276</v>
      </c>
      <c r="C3" s="20" t="s">
        <v>557</v>
      </c>
      <c r="D3" s="20" t="s">
        <v>558</v>
      </c>
      <c r="E3" s="20">
        <v>4</v>
      </c>
      <c r="F3" s="20" t="s">
        <v>279</v>
      </c>
      <c r="G3" s="60">
        <v>3800</v>
      </c>
      <c r="I3" s="20" t="s">
        <v>17</v>
      </c>
      <c r="J3" s="20">
        <v>2</v>
      </c>
      <c r="K3" s="34"/>
      <c r="M3" s="20" t="s">
        <v>22</v>
      </c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1"/>
      <c r="CZ3" s="71"/>
      <c r="DA3" s="71"/>
      <c r="DB3" s="71"/>
      <c r="DC3" s="71"/>
      <c r="DD3" s="76"/>
    </row>
    <row r="4" spans="1:108" s="20" customFormat="1" ht="115.5" customHeight="1">
      <c r="A4" s="25" t="s">
        <v>13</v>
      </c>
      <c r="B4" s="20" t="s">
        <v>234</v>
      </c>
      <c r="C4" s="20" t="s">
        <v>559</v>
      </c>
      <c r="D4" s="20" t="s">
        <v>560</v>
      </c>
      <c r="E4" s="20">
        <v>1</v>
      </c>
      <c r="F4" s="20" t="s">
        <v>237</v>
      </c>
      <c r="G4" s="60">
        <v>1300</v>
      </c>
      <c r="I4" s="20" t="s">
        <v>17</v>
      </c>
      <c r="J4" s="20">
        <v>2</v>
      </c>
      <c r="K4" s="34"/>
      <c r="M4" s="20" t="s">
        <v>22</v>
      </c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71"/>
      <c r="CN4" s="71"/>
      <c r="CO4" s="71"/>
      <c r="CP4" s="71"/>
      <c r="CQ4" s="71"/>
      <c r="CR4" s="71"/>
      <c r="CS4" s="71"/>
      <c r="CT4" s="71"/>
      <c r="CU4" s="71"/>
      <c r="CV4" s="71"/>
      <c r="CW4" s="71"/>
      <c r="CX4" s="71"/>
      <c r="CY4" s="71"/>
      <c r="CZ4" s="71"/>
      <c r="DA4" s="71"/>
      <c r="DB4" s="71"/>
      <c r="DC4" s="71"/>
      <c r="DD4" s="76"/>
    </row>
    <row r="5" spans="1:108" s="20" customFormat="1" ht="115.5" customHeight="1">
      <c r="A5" s="25" t="s">
        <v>13</v>
      </c>
      <c r="B5" s="20" t="s">
        <v>238</v>
      </c>
      <c r="C5" s="20" t="s">
        <v>561</v>
      </c>
      <c r="D5" s="20" t="s">
        <v>562</v>
      </c>
      <c r="E5" s="20">
        <v>1</v>
      </c>
      <c r="F5" s="20" t="s">
        <v>241</v>
      </c>
      <c r="G5" s="60">
        <v>1300</v>
      </c>
      <c r="I5" s="20" t="s">
        <v>17</v>
      </c>
      <c r="J5" s="20">
        <v>2</v>
      </c>
      <c r="K5" s="34"/>
      <c r="M5" s="20" t="s">
        <v>22</v>
      </c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6"/>
    </row>
    <row r="6" spans="1:108" s="20" customFormat="1" ht="115.5" customHeight="1">
      <c r="A6" s="25" t="s">
        <v>13</v>
      </c>
      <c r="B6" s="20" t="s">
        <v>238</v>
      </c>
      <c r="C6" s="20" t="s">
        <v>563</v>
      </c>
      <c r="D6" s="20" t="s">
        <v>562</v>
      </c>
      <c r="E6" s="20">
        <v>1</v>
      </c>
      <c r="F6" s="20" t="s">
        <v>245</v>
      </c>
      <c r="G6" s="60">
        <v>1300</v>
      </c>
      <c r="I6" s="20" t="s">
        <v>17</v>
      </c>
      <c r="J6" s="20">
        <v>2</v>
      </c>
      <c r="K6" s="34"/>
      <c r="M6" s="20" t="s">
        <v>22</v>
      </c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  <c r="CY6" s="71"/>
      <c r="CZ6" s="71"/>
      <c r="DA6" s="71"/>
      <c r="DB6" s="71"/>
      <c r="DC6" s="71"/>
      <c r="DD6" s="76"/>
    </row>
    <row r="7" spans="1:108" s="19" customFormat="1" ht="108.75" customHeight="1">
      <c r="A7" s="25" t="s">
        <v>13</v>
      </c>
      <c r="B7" s="20"/>
      <c r="C7" s="20" t="s">
        <v>564</v>
      </c>
      <c r="D7" s="20" t="s">
        <v>565</v>
      </c>
      <c r="E7" s="20">
        <v>1</v>
      </c>
      <c r="F7" s="20" t="s">
        <v>483</v>
      </c>
      <c r="G7" s="60">
        <v>1300</v>
      </c>
      <c r="H7" s="20">
        <v>16</v>
      </c>
      <c r="I7" s="20" t="s">
        <v>17</v>
      </c>
      <c r="J7" s="20">
        <v>2</v>
      </c>
      <c r="K7" s="34">
        <v>45134</v>
      </c>
      <c r="L7" s="20"/>
      <c r="M7" s="20" t="s">
        <v>172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108" s="20" customFormat="1" ht="115.5" customHeight="1">
      <c r="A8" s="25" t="s">
        <v>13</v>
      </c>
      <c r="B8" s="54" t="s">
        <v>566</v>
      </c>
      <c r="C8" s="20" t="s">
        <v>567</v>
      </c>
      <c r="D8" s="20" t="s">
        <v>568</v>
      </c>
      <c r="E8" s="20">
        <v>1</v>
      </c>
      <c r="F8" s="20" t="s">
        <v>309</v>
      </c>
      <c r="G8" s="60">
        <v>1300</v>
      </c>
      <c r="I8" s="20" t="s">
        <v>17</v>
      </c>
      <c r="J8" s="20">
        <v>2</v>
      </c>
      <c r="K8" s="34"/>
      <c r="M8" s="20" t="s">
        <v>22</v>
      </c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1"/>
      <c r="DA8" s="71"/>
      <c r="DB8" s="71"/>
      <c r="DC8" s="71"/>
      <c r="DD8" s="76"/>
    </row>
    <row r="9" spans="1:108" s="20" customFormat="1" ht="115.5" customHeight="1">
      <c r="A9" s="25" t="s">
        <v>13</v>
      </c>
      <c r="B9" s="51"/>
      <c r="C9" s="20" t="s">
        <v>569</v>
      </c>
      <c r="D9" s="20" t="s">
        <v>570</v>
      </c>
      <c r="E9" s="20">
        <v>3</v>
      </c>
      <c r="F9" s="20" t="s">
        <v>309</v>
      </c>
      <c r="G9" s="60">
        <v>3900</v>
      </c>
      <c r="I9" s="20" t="s">
        <v>17</v>
      </c>
      <c r="J9" s="20">
        <v>2</v>
      </c>
      <c r="K9" s="34"/>
      <c r="M9" s="20" t="s">
        <v>22</v>
      </c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71"/>
      <c r="DA9" s="71"/>
      <c r="DB9" s="71"/>
      <c r="DC9" s="71"/>
      <c r="DD9" s="76"/>
    </row>
    <row r="10" spans="1:108" s="19" customFormat="1" ht="86.25" customHeight="1">
      <c r="A10" s="20" t="s">
        <v>13</v>
      </c>
      <c r="B10" s="20"/>
      <c r="C10" s="80" t="s">
        <v>571</v>
      </c>
      <c r="D10" s="20" t="s">
        <v>572</v>
      </c>
      <c r="E10" s="20">
        <v>1</v>
      </c>
      <c r="F10" s="20" t="s">
        <v>21</v>
      </c>
      <c r="G10" s="60">
        <v>1300</v>
      </c>
      <c r="H10" s="20">
        <v>4</v>
      </c>
      <c r="I10" s="20" t="s">
        <v>17</v>
      </c>
      <c r="J10" s="20">
        <v>2</v>
      </c>
      <c r="K10" s="34"/>
      <c r="L10" s="20"/>
      <c r="M10" s="20" t="s">
        <v>22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108" s="19" customFormat="1" ht="97.5" customHeight="1">
      <c r="A11" s="20" t="s">
        <v>13</v>
      </c>
      <c r="B11" s="20"/>
      <c r="C11" s="80" t="s">
        <v>571</v>
      </c>
      <c r="D11" s="20" t="s">
        <v>573</v>
      </c>
      <c r="E11" s="20">
        <v>1</v>
      </c>
      <c r="F11" s="20" t="s">
        <v>21</v>
      </c>
      <c r="G11" s="60">
        <v>1300</v>
      </c>
      <c r="H11" s="20" t="s">
        <v>147</v>
      </c>
      <c r="I11" s="20" t="s">
        <v>17</v>
      </c>
      <c r="J11" s="20">
        <v>2</v>
      </c>
      <c r="K11" s="34"/>
      <c r="L11" s="20"/>
      <c r="M11" s="20" t="s">
        <v>22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108" s="19" customFormat="1" ht="105">
      <c r="A12" s="20" t="s">
        <v>73</v>
      </c>
      <c r="B12" s="20"/>
      <c r="C12" s="20" t="s">
        <v>574</v>
      </c>
      <c r="D12" s="34" t="s">
        <v>575</v>
      </c>
      <c r="E12" s="20">
        <v>1</v>
      </c>
      <c r="F12" s="20" t="s">
        <v>76</v>
      </c>
      <c r="G12" s="60">
        <v>600</v>
      </c>
      <c r="H12" s="20">
        <v>5</v>
      </c>
      <c r="I12" s="20" t="s">
        <v>77</v>
      </c>
      <c r="J12" s="20"/>
      <c r="K12" s="20"/>
      <c r="L12" s="20"/>
      <c r="M12" s="20" t="s">
        <v>78</v>
      </c>
    </row>
    <row r="13" spans="1:108" s="59" customFormat="1" ht="84.75" customHeight="1">
      <c r="A13" s="25" t="s">
        <v>13</v>
      </c>
      <c r="B13" s="20"/>
      <c r="C13" s="20" t="s">
        <v>576</v>
      </c>
      <c r="D13" s="20" t="s">
        <v>577</v>
      </c>
      <c r="E13" s="20">
        <v>1</v>
      </c>
      <c r="F13" s="61" t="s">
        <v>578</v>
      </c>
      <c r="G13" s="60">
        <v>1300</v>
      </c>
      <c r="H13" s="20"/>
      <c r="I13" s="20" t="s">
        <v>17</v>
      </c>
      <c r="J13" s="20">
        <v>2</v>
      </c>
      <c r="K13" s="34">
        <v>44983</v>
      </c>
      <c r="L13" s="20"/>
      <c r="M13" s="20" t="s">
        <v>22</v>
      </c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74"/>
      <c r="CT13" s="74"/>
      <c r="CU13" s="74"/>
      <c r="CV13" s="74"/>
      <c r="CW13" s="74"/>
      <c r="CX13" s="74"/>
      <c r="CY13" s="74"/>
      <c r="CZ13" s="74"/>
      <c r="DA13" s="74"/>
      <c r="DB13" s="74"/>
      <c r="DC13" s="74"/>
      <c r="DD13" s="77"/>
    </row>
    <row r="14" spans="1:108" s="19" customFormat="1" ht="80.25" customHeight="1">
      <c r="A14" s="25" t="s">
        <v>13</v>
      </c>
      <c r="B14" s="79" t="s">
        <v>110</v>
      </c>
      <c r="C14" s="20" t="s">
        <v>579</v>
      </c>
      <c r="D14" s="20" t="s">
        <v>580</v>
      </c>
      <c r="E14" s="20">
        <v>1</v>
      </c>
      <c r="F14" s="20" t="s">
        <v>113</v>
      </c>
      <c r="G14" s="60">
        <v>1300</v>
      </c>
      <c r="H14" s="20">
        <v>30</v>
      </c>
      <c r="I14" s="20" t="s">
        <v>17</v>
      </c>
      <c r="J14" s="20">
        <v>2</v>
      </c>
      <c r="K14" s="34">
        <v>45064</v>
      </c>
      <c r="L14" s="20"/>
      <c r="M14" s="20" t="s">
        <v>33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108" s="19" customFormat="1" ht="93.75" customHeight="1">
      <c r="A15" s="25" t="s">
        <v>13</v>
      </c>
      <c r="B15" s="56" t="s">
        <v>114</v>
      </c>
      <c r="C15" s="20" t="s">
        <v>581</v>
      </c>
      <c r="D15" s="20" t="s">
        <v>582</v>
      </c>
      <c r="E15" s="20">
        <v>1</v>
      </c>
      <c r="F15" s="20" t="s">
        <v>117</v>
      </c>
      <c r="G15" s="60">
        <v>950</v>
      </c>
      <c r="H15" s="20">
        <v>30</v>
      </c>
      <c r="I15" s="20" t="s">
        <v>17</v>
      </c>
      <c r="J15" s="20">
        <v>2</v>
      </c>
      <c r="K15" s="34">
        <v>45040</v>
      </c>
      <c r="L15" s="20"/>
      <c r="M15" s="20" t="s">
        <v>33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108" s="59" customFormat="1" ht="84.75" customHeight="1">
      <c r="A16" s="25" t="s">
        <v>13</v>
      </c>
      <c r="B16" s="20" t="s">
        <v>583</v>
      </c>
      <c r="C16" s="20" t="s">
        <v>584</v>
      </c>
      <c r="D16" s="20" t="s">
        <v>585</v>
      </c>
      <c r="E16" s="20">
        <v>1</v>
      </c>
      <c r="F16" s="61" t="s">
        <v>586</v>
      </c>
      <c r="G16" s="60">
        <v>1300</v>
      </c>
      <c r="H16" s="20"/>
      <c r="I16" s="20" t="s">
        <v>17</v>
      </c>
      <c r="J16" s="20">
        <v>2</v>
      </c>
      <c r="K16" s="34">
        <v>45357</v>
      </c>
      <c r="L16" s="20"/>
      <c r="M16" s="20" t="s">
        <v>22</v>
      </c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74"/>
      <c r="CU16" s="74"/>
      <c r="CV16" s="74"/>
      <c r="CW16" s="74"/>
      <c r="CX16" s="74"/>
      <c r="CY16" s="74"/>
      <c r="CZ16" s="74"/>
      <c r="DA16" s="74"/>
      <c r="DB16" s="74"/>
      <c r="DC16" s="74"/>
      <c r="DD16" s="77"/>
    </row>
    <row r="17" spans="1:108" s="59" customFormat="1" ht="84.75" customHeight="1">
      <c r="A17" s="25" t="s">
        <v>13</v>
      </c>
      <c r="B17" s="20" t="s">
        <v>587</v>
      </c>
      <c r="C17" s="20" t="s">
        <v>588</v>
      </c>
      <c r="D17" s="20" t="s">
        <v>589</v>
      </c>
      <c r="E17" s="20">
        <v>1</v>
      </c>
      <c r="F17" s="61" t="s">
        <v>590</v>
      </c>
      <c r="G17" s="60">
        <v>950</v>
      </c>
      <c r="H17" s="20"/>
      <c r="I17" s="20" t="s">
        <v>17</v>
      </c>
      <c r="J17" s="20">
        <v>2</v>
      </c>
      <c r="K17" s="34">
        <v>44983</v>
      </c>
      <c r="L17" s="20"/>
      <c r="M17" s="20" t="s">
        <v>22</v>
      </c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74"/>
      <c r="CU17" s="74"/>
      <c r="CV17" s="74"/>
      <c r="CW17" s="74"/>
      <c r="CX17" s="74"/>
      <c r="CY17" s="74"/>
      <c r="CZ17" s="74"/>
      <c r="DA17" s="74"/>
      <c r="DB17" s="74"/>
      <c r="DC17" s="74"/>
      <c r="DD17" s="77"/>
    </row>
    <row r="18" spans="1:108" s="59" customFormat="1" ht="84.75" customHeight="1">
      <c r="A18" s="25" t="s">
        <v>13</v>
      </c>
      <c r="B18" s="81"/>
      <c r="C18" s="20"/>
      <c r="D18" s="20" t="s">
        <v>591</v>
      </c>
      <c r="E18" s="20">
        <v>1</v>
      </c>
      <c r="F18" s="61" t="s">
        <v>592</v>
      </c>
      <c r="G18" s="60">
        <v>950</v>
      </c>
      <c r="H18" s="20"/>
      <c r="I18" s="20" t="s">
        <v>17</v>
      </c>
      <c r="J18" s="20">
        <v>2</v>
      </c>
      <c r="K18" s="34">
        <v>45357</v>
      </c>
      <c r="L18" s="20"/>
      <c r="M18" s="20" t="s">
        <v>22</v>
      </c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74"/>
      <c r="CU18" s="74"/>
      <c r="CV18" s="74"/>
      <c r="CW18" s="74"/>
      <c r="CX18" s="74"/>
      <c r="CY18" s="74"/>
      <c r="CZ18" s="74"/>
      <c r="DA18" s="74"/>
      <c r="DB18" s="74"/>
      <c r="DC18" s="74"/>
      <c r="DD18" s="77"/>
    </row>
    <row r="19" spans="1:108" s="59" customFormat="1" ht="84.75" customHeight="1">
      <c r="A19" s="25" t="s">
        <v>13</v>
      </c>
      <c r="B19" s="56" t="s">
        <v>593</v>
      </c>
      <c r="C19" s="20" t="s">
        <v>594</v>
      </c>
      <c r="D19" s="20" t="s">
        <v>595</v>
      </c>
      <c r="E19" s="20">
        <v>1</v>
      </c>
      <c r="F19" s="61" t="s">
        <v>596</v>
      </c>
      <c r="G19" s="60">
        <v>950</v>
      </c>
      <c r="H19" s="20"/>
      <c r="I19" s="20" t="s">
        <v>17</v>
      </c>
      <c r="J19" s="20">
        <v>2</v>
      </c>
      <c r="K19" s="34">
        <v>44983</v>
      </c>
      <c r="L19" s="20"/>
      <c r="M19" s="20" t="s">
        <v>22</v>
      </c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74"/>
      <c r="CR19" s="74"/>
      <c r="CS19" s="74"/>
      <c r="CT19" s="74"/>
      <c r="CU19" s="74"/>
      <c r="CV19" s="74"/>
      <c r="CW19" s="74"/>
      <c r="CX19" s="74"/>
      <c r="CY19" s="74"/>
      <c r="CZ19" s="74"/>
      <c r="DA19" s="74"/>
      <c r="DB19" s="74"/>
      <c r="DC19" s="74"/>
      <c r="DD19" s="77"/>
    </row>
    <row r="20" spans="1:108" s="59" customFormat="1" ht="84.75" customHeight="1">
      <c r="A20" s="25" t="s">
        <v>13</v>
      </c>
      <c r="B20" s="56" t="s">
        <v>597</v>
      </c>
      <c r="C20" s="20"/>
      <c r="D20" s="20" t="s">
        <v>598</v>
      </c>
      <c r="E20" s="20">
        <v>1</v>
      </c>
      <c r="F20" s="61" t="s">
        <v>599</v>
      </c>
      <c r="G20" s="60">
        <v>1300</v>
      </c>
      <c r="H20" s="20"/>
      <c r="I20" s="20" t="s">
        <v>17</v>
      </c>
      <c r="J20" s="20">
        <v>2</v>
      </c>
      <c r="K20" s="34">
        <v>44983</v>
      </c>
      <c r="L20" s="20"/>
      <c r="M20" s="20" t="s">
        <v>22</v>
      </c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74"/>
      <c r="BR20" s="74"/>
      <c r="BS20" s="74"/>
      <c r="BT20" s="74"/>
      <c r="BU20" s="74"/>
      <c r="BV20" s="74"/>
      <c r="BW20" s="74"/>
      <c r="BX20" s="74"/>
      <c r="BY20" s="74"/>
      <c r="BZ20" s="74"/>
      <c r="CA20" s="74"/>
      <c r="CB20" s="74"/>
      <c r="CC20" s="74"/>
      <c r="CD20" s="74"/>
      <c r="CE20" s="74"/>
      <c r="CF20" s="74"/>
      <c r="CG20" s="74"/>
      <c r="CH20" s="74"/>
      <c r="CI20" s="74"/>
      <c r="CJ20" s="74"/>
      <c r="CK20" s="74"/>
      <c r="CL20" s="74"/>
      <c r="CM20" s="74"/>
      <c r="CN20" s="74"/>
      <c r="CO20" s="74"/>
      <c r="CP20" s="74"/>
      <c r="CQ20" s="74"/>
      <c r="CR20" s="74"/>
      <c r="CS20" s="74"/>
      <c r="CT20" s="74"/>
      <c r="CU20" s="74"/>
      <c r="CV20" s="74"/>
      <c r="CW20" s="74"/>
      <c r="CX20" s="74"/>
      <c r="CY20" s="74"/>
      <c r="CZ20" s="74"/>
      <c r="DA20" s="74"/>
      <c r="DB20" s="74"/>
      <c r="DC20" s="74"/>
      <c r="DD20" s="77"/>
    </row>
    <row r="21" spans="1:108" s="59" customFormat="1" ht="87" customHeight="1">
      <c r="A21" s="25" t="s">
        <v>13</v>
      </c>
      <c r="B21" s="56" t="s">
        <v>600</v>
      </c>
      <c r="C21" s="20"/>
      <c r="D21" s="20" t="s">
        <v>589</v>
      </c>
      <c r="E21" s="20">
        <v>1</v>
      </c>
      <c r="F21" s="61" t="s">
        <v>601</v>
      </c>
      <c r="G21" s="60">
        <v>950</v>
      </c>
      <c r="H21" s="20"/>
      <c r="I21" s="20" t="s">
        <v>17</v>
      </c>
      <c r="J21" s="20">
        <v>2</v>
      </c>
      <c r="K21" s="34"/>
      <c r="L21" s="20"/>
      <c r="M21" s="20" t="s">
        <v>22</v>
      </c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  <c r="BV21" s="74"/>
      <c r="BW21" s="74"/>
      <c r="BX21" s="74"/>
      <c r="BY21" s="74"/>
      <c r="BZ21" s="74"/>
      <c r="CA21" s="74"/>
      <c r="CB21" s="74"/>
      <c r="CC21" s="74"/>
      <c r="CD21" s="74"/>
      <c r="CE21" s="74"/>
      <c r="CF21" s="74"/>
      <c r="CG21" s="74"/>
      <c r="CH21" s="74"/>
      <c r="CI21" s="74"/>
      <c r="CJ21" s="74"/>
      <c r="CK21" s="74"/>
      <c r="CL21" s="74"/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7"/>
    </row>
    <row r="22" spans="1:108" ht="42" customHeight="1">
      <c r="A22" s="67"/>
      <c r="B22" s="67"/>
      <c r="C22" s="67"/>
      <c r="D22" s="67"/>
      <c r="E22" s="68">
        <f>SUM(E2:E21)</f>
        <v>25</v>
      </c>
      <c r="F22" s="67"/>
      <c r="G22" s="69">
        <f>SUM(G2:G21)</f>
        <v>28300</v>
      </c>
      <c r="H22" s="67"/>
      <c r="I22" s="67"/>
      <c r="J22" s="67"/>
      <c r="K22" s="67"/>
      <c r="L22" s="67"/>
      <c r="M22" s="6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10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108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</sheetData>
  <autoFilter ref="A1:DD22" xr:uid="{00000000-0009-0000-0000-00000D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5"/>
  <dimension ref="A1:DD24"/>
  <sheetViews>
    <sheetView workbookViewId="0">
      <selection activeCell="H4" sqref="H4"/>
    </sheetView>
  </sheetViews>
  <sheetFormatPr defaultColWidth="9" defaultRowHeight="15"/>
  <cols>
    <col min="1" max="1" width="21.28515625" customWidth="1"/>
    <col min="2" max="2" width="17.140625" customWidth="1"/>
    <col min="3" max="4" width="14.5703125" customWidth="1"/>
    <col min="5" max="5" width="10.85546875" customWidth="1"/>
    <col min="6" max="6" width="24.42578125" customWidth="1"/>
    <col min="7" max="7" width="12.28515625" customWidth="1"/>
    <col min="9" max="9" width="15.140625" customWidth="1"/>
    <col min="10" max="10" width="12.85546875" customWidth="1"/>
    <col min="11" max="11" width="10.85546875" customWidth="1"/>
    <col min="13" max="13" width="58.140625" customWidth="1"/>
  </cols>
  <sheetData>
    <row r="1" spans="1:108" s="58" customFormat="1" ht="70.5" customHeight="1">
      <c r="A1" s="5" t="s">
        <v>0</v>
      </c>
      <c r="B1" s="7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</row>
    <row r="2" spans="1:108" s="59" customFormat="1" ht="89.25" customHeight="1">
      <c r="A2" s="25" t="s">
        <v>13</v>
      </c>
      <c r="B2" s="28"/>
      <c r="C2" s="20" t="s">
        <v>602</v>
      </c>
      <c r="D2" s="20" t="s">
        <v>603</v>
      </c>
      <c r="E2" s="20">
        <v>2</v>
      </c>
      <c r="F2" s="61" t="s">
        <v>604</v>
      </c>
      <c r="G2" s="60">
        <v>2600</v>
      </c>
      <c r="H2" s="20"/>
      <c r="I2" s="20" t="s">
        <v>17</v>
      </c>
      <c r="J2" s="20">
        <v>2</v>
      </c>
      <c r="K2" s="34">
        <v>45394</v>
      </c>
      <c r="L2" s="20"/>
      <c r="M2" s="20" t="s">
        <v>22</v>
      </c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7"/>
    </row>
    <row r="3" spans="1:108" s="59" customFormat="1" ht="89.25" customHeight="1">
      <c r="A3" s="25" t="s">
        <v>13</v>
      </c>
      <c r="B3" s="28"/>
      <c r="C3" s="20" t="s">
        <v>605</v>
      </c>
      <c r="D3" s="20" t="s">
        <v>606</v>
      </c>
      <c r="E3" s="20">
        <v>1</v>
      </c>
      <c r="F3" s="61" t="s">
        <v>607</v>
      </c>
      <c r="G3" s="60">
        <v>1300</v>
      </c>
      <c r="H3" s="20"/>
      <c r="I3" s="20" t="s">
        <v>17</v>
      </c>
      <c r="J3" s="20">
        <v>2</v>
      </c>
      <c r="K3" s="34">
        <v>45393</v>
      </c>
      <c r="L3" s="20"/>
      <c r="M3" s="20" t="s">
        <v>22</v>
      </c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74"/>
      <c r="BY3" s="74"/>
      <c r="BZ3" s="74"/>
      <c r="CA3" s="74"/>
      <c r="CB3" s="74"/>
      <c r="CC3" s="74"/>
      <c r="CD3" s="74"/>
      <c r="CE3" s="74"/>
      <c r="CF3" s="74"/>
      <c r="CG3" s="74"/>
      <c r="CH3" s="74"/>
      <c r="CI3" s="74"/>
      <c r="CJ3" s="74"/>
      <c r="CK3" s="74"/>
      <c r="CL3" s="74"/>
      <c r="CM3" s="74"/>
      <c r="CN3" s="74"/>
      <c r="CO3" s="74"/>
      <c r="CP3" s="74"/>
      <c r="CQ3" s="74"/>
      <c r="CR3" s="74"/>
      <c r="CS3" s="74"/>
      <c r="CT3" s="74"/>
      <c r="CU3" s="74"/>
      <c r="CV3" s="74"/>
      <c r="CW3" s="74"/>
      <c r="CX3" s="74"/>
      <c r="CY3" s="74"/>
      <c r="CZ3" s="74"/>
      <c r="DA3" s="74"/>
      <c r="DB3" s="74"/>
      <c r="DC3" s="74"/>
      <c r="DD3" s="77"/>
    </row>
    <row r="4" spans="1:108" s="59" customFormat="1" ht="89.25" customHeight="1">
      <c r="A4" s="25" t="s">
        <v>13</v>
      </c>
      <c r="B4" s="53" t="s">
        <v>608</v>
      </c>
      <c r="C4" s="20" t="s">
        <v>609</v>
      </c>
      <c r="D4" s="20" t="s">
        <v>610</v>
      </c>
      <c r="E4" s="20">
        <v>1</v>
      </c>
      <c r="F4" s="61" t="s">
        <v>611</v>
      </c>
      <c r="G4" s="60">
        <v>950</v>
      </c>
      <c r="H4" s="20"/>
      <c r="I4" s="20" t="s">
        <v>17</v>
      </c>
      <c r="J4" s="20">
        <v>2</v>
      </c>
      <c r="K4" s="34">
        <v>45412</v>
      </c>
      <c r="L4" s="20"/>
      <c r="M4" s="20" t="s">
        <v>22</v>
      </c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BZ4" s="74"/>
      <c r="CA4" s="74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4"/>
      <c r="CM4" s="74"/>
      <c r="CN4" s="74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4"/>
      <c r="CZ4" s="74"/>
      <c r="DA4" s="74"/>
      <c r="DB4" s="74"/>
      <c r="DC4" s="74"/>
      <c r="DD4" s="77"/>
    </row>
    <row r="5" spans="1:108" s="59" customFormat="1" ht="89.25" customHeight="1">
      <c r="A5" s="25" t="s">
        <v>13</v>
      </c>
      <c r="B5" s="53" t="s">
        <v>612</v>
      </c>
      <c r="C5" s="20" t="s">
        <v>613</v>
      </c>
      <c r="D5" s="20" t="s">
        <v>614</v>
      </c>
      <c r="E5" s="20">
        <v>1</v>
      </c>
      <c r="F5" s="61" t="s">
        <v>615</v>
      </c>
      <c r="G5" s="60">
        <v>950</v>
      </c>
      <c r="H5" s="20"/>
      <c r="I5" s="20" t="s">
        <v>17</v>
      </c>
      <c r="J5" s="20">
        <v>2</v>
      </c>
      <c r="K5" s="34">
        <v>45397</v>
      </c>
      <c r="L5" s="20"/>
      <c r="M5" s="20" t="s">
        <v>22</v>
      </c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  <c r="BS5" s="74"/>
      <c r="BT5" s="74"/>
      <c r="BU5" s="74"/>
      <c r="BV5" s="74"/>
      <c r="BW5" s="74"/>
      <c r="BX5" s="74"/>
      <c r="BY5" s="74"/>
      <c r="BZ5" s="74"/>
      <c r="CA5" s="74"/>
      <c r="CB5" s="74"/>
      <c r="CC5" s="74"/>
      <c r="CD5" s="74"/>
      <c r="CE5" s="74"/>
      <c r="CF5" s="74"/>
      <c r="CG5" s="74"/>
      <c r="CH5" s="74"/>
      <c r="CI5" s="74"/>
      <c r="CJ5" s="74"/>
      <c r="CK5" s="74"/>
      <c r="CL5" s="74"/>
      <c r="CM5" s="74"/>
      <c r="CN5" s="74"/>
      <c r="CO5" s="74"/>
      <c r="CP5" s="74"/>
      <c r="CQ5" s="74"/>
      <c r="CR5" s="74"/>
      <c r="CS5" s="74"/>
      <c r="CT5" s="74"/>
      <c r="CU5" s="74"/>
      <c r="CV5" s="74"/>
      <c r="CW5" s="74"/>
      <c r="CX5" s="74"/>
      <c r="CY5" s="74"/>
      <c r="CZ5" s="74"/>
      <c r="DA5" s="74"/>
      <c r="DB5" s="74"/>
      <c r="DC5" s="74"/>
      <c r="DD5" s="77"/>
    </row>
    <row r="6" spans="1:108" s="59" customFormat="1" ht="89.25" customHeight="1">
      <c r="A6" s="25" t="s">
        <v>13</v>
      </c>
      <c r="B6" s="56" t="s">
        <v>616</v>
      </c>
      <c r="C6" s="20" t="s">
        <v>617</v>
      </c>
      <c r="D6" s="20" t="s">
        <v>618</v>
      </c>
      <c r="E6" s="20">
        <v>1</v>
      </c>
      <c r="F6" s="61" t="s">
        <v>619</v>
      </c>
      <c r="G6" s="60">
        <v>950</v>
      </c>
      <c r="H6" s="20"/>
      <c r="I6" s="20" t="s">
        <v>17</v>
      </c>
      <c r="J6" s="20">
        <v>2</v>
      </c>
      <c r="K6" s="34">
        <v>45397</v>
      </c>
      <c r="L6" s="20"/>
      <c r="M6" s="20" t="s">
        <v>22</v>
      </c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/>
      <c r="BR6" s="74"/>
      <c r="BS6" s="74"/>
      <c r="BT6" s="74"/>
      <c r="BU6" s="74"/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  <c r="DA6" s="74"/>
      <c r="DB6" s="74"/>
      <c r="DC6" s="74"/>
      <c r="DD6" s="77"/>
    </row>
    <row r="7" spans="1:108" s="59" customFormat="1" ht="84.75" customHeight="1">
      <c r="A7" s="25" t="s">
        <v>13</v>
      </c>
      <c r="B7" s="78" t="s">
        <v>583</v>
      </c>
      <c r="C7" s="20" t="s">
        <v>620</v>
      </c>
      <c r="D7" s="20" t="s">
        <v>606</v>
      </c>
      <c r="E7" s="20">
        <v>1</v>
      </c>
      <c r="F7" s="61" t="s">
        <v>621</v>
      </c>
      <c r="G7" s="60">
        <v>1300</v>
      </c>
      <c r="H7" s="20"/>
      <c r="I7" s="20" t="s">
        <v>17</v>
      </c>
      <c r="J7" s="20">
        <v>2</v>
      </c>
      <c r="K7" s="34">
        <v>45393</v>
      </c>
      <c r="L7" s="20"/>
      <c r="M7" s="20" t="s">
        <v>22</v>
      </c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4"/>
      <c r="BS7" s="74"/>
      <c r="BT7" s="74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74"/>
      <c r="CU7" s="74"/>
      <c r="CV7" s="74"/>
      <c r="CW7" s="74"/>
      <c r="CX7" s="74"/>
      <c r="CY7" s="74"/>
      <c r="CZ7" s="74"/>
      <c r="DA7" s="74"/>
      <c r="DB7" s="74"/>
      <c r="DC7" s="74"/>
      <c r="DD7" s="77"/>
    </row>
    <row r="8" spans="1:108" s="59" customFormat="1" ht="115.5" customHeight="1">
      <c r="A8" s="20" t="s">
        <v>13</v>
      </c>
      <c r="B8" s="54" t="s">
        <v>622</v>
      </c>
      <c r="C8" s="20" t="s">
        <v>623</v>
      </c>
      <c r="D8" s="20" t="s">
        <v>624</v>
      </c>
      <c r="E8" s="20">
        <v>1</v>
      </c>
      <c r="F8" s="20" t="s">
        <v>463</v>
      </c>
      <c r="G8" s="60">
        <v>950</v>
      </c>
      <c r="H8" s="20"/>
      <c r="I8" s="20" t="s">
        <v>17</v>
      </c>
      <c r="J8" s="20">
        <v>2</v>
      </c>
      <c r="K8" s="34"/>
      <c r="L8" s="20"/>
      <c r="M8" s="20" t="s">
        <v>22</v>
      </c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4"/>
      <c r="BS8" s="74"/>
      <c r="BT8" s="74"/>
      <c r="BU8" s="74"/>
      <c r="BV8" s="74"/>
      <c r="BW8" s="74"/>
      <c r="BX8" s="74"/>
      <c r="BY8" s="74"/>
      <c r="BZ8" s="74"/>
      <c r="CA8" s="74"/>
      <c r="CB8" s="74"/>
      <c r="CC8" s="74"/>
      <c r="CD8" s="74"/>
      <c r="CE8" s="74"/>
      <c r="CF8" s="74"/>
      <c r="CG8" s="74"/>
      <c r="CH8" s="74"/>
      <c r="CI8" s="74"/>
      <c r="CJ8" s="74"/>
      <c r="CK8" s="74"/>
      <c r="CL8" s="74"/>
      <c r="CM8" s="74"/>
      <c r="CN8" s="74"/>
      <c r="CO8" s="74"/>
      <c r="CP8" s="74"/>
      <c r="CQ8" s="74"/>
      <c r="CR8" s="74"/>
      <c r="CS8" s="74"/>
      <c r="CT8" s="74"/>
      <c r="CU8" s="74"/>
      <c r="CV8" s="74"/>
      <c r="CW8" s="74"/>
      <c r="CX8" s="74"/>
      <c r="CY8" s="74"/>
      <c r="CZ8" s="74"/>
      <c r="DA8" s="74"/>
      <c r="DB8" s="74"/>
      <c r="DC8" s="74"/>
      <c r="DD8" s="77"/>
    </row>
    <row r="9" spans="1:108" s="20" customFormat="1" ht="115.5" customHeight="1">
      <c r="A9" s="25" t="s">
        <v>13</v>
      </c>
      <c r="B9" s="20" t="s">
        <v>276</v>
      </c>
      <c r="C9" s="20" t="s">
        <v>625</v>
      </c>
      <c r="D9" s="20" t="s">
        <v>626</v>
      </c>
      <c r="E9" s="20">
        <v>4</v>
      </c>
      <c r="F9" s="20" t="s">
        <v>279</v>
      </c>
      <c r="G9" s="60">
        <v>3800</v>
      </c>
      <c r="I9" s="20" t="s">
        <v>17</v>
      </c>
      <c r="J9" s="20">
        <v>2</v>
      </c>
      <c r="K9" s="34"/>
      <c r="M9" s="20" t="s">
        <v>22</v>
      </c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71"/>
      <c r="DA9" s="71"/>
      <c r="DB9" s="71"/>
      <c r="DC9" s="71"/>
      <c r="DD9" s="76"/>
    </row>
    <row r="10" spans="1:108" s="20" customFormat="1" ht="115.5" customHeight="1">
      <c r="A10" s="25" t="s">
        <v>13</v>
      </c>
      <c r="B10" s="20" t="s">
        <v>234</v>
      </c>
      <c r="C10" s="20" t="s">
        <v>627</v>
      </c>
      <c r="D10" s="20" t="s">
        <v>628</v>
      </c>
      <c r="E10" s="20">
        <v>1</v>
      </c>
      <c r="F10" s="20" t="s">
        <v>237</v>
      </c>
      <c r="G10" s="60">
        <v>1300</v>
      </c>
      <c r="I10" s="20" t="s">
        <v>17</v>
      </c>
      <c r="J10" s="20">
        <v>2</v>
      </c>
      <c r="K10" s="34"/>
      <c r="M10" s="20" t="s">
        <v>22</v>
      </c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6"/>
    </row>
    <row r="11" spans="1:108" s="20" customFormat="1" ht="115.5" customHeight="1">
      <c r="A11" s="25" t="s">
        <v>13</v>
      </c>
      <c r="B11" s="20" t="s">
        <v>238</v>
      </c>
      <c r="C11" s="20" t="s">
        <v>629</v>
      </c>
      <c r="D11" s="20" t="s">
        <v>630</v>
      </c>
      <c r="E11" s="20">
        <v>1</v>
      </c>
      <c r="F11" s="20" t="s">
        <v>241</v>
      </c>
      <c r="G11" s="60">
        <v>1300</v>
      </c>
      <c r="I11" s="20" t="s">
        <v>17</v>
      </c>
      <c r="J11" s="20">
        <v>2</v>
      </c>
      <c r="K11" s="34"/>
      <c r="M11" s="20" t="s">
        <v>22</v>
      </c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  <c r="CT11" s="71"/>
      <c r="CU11" s="71"/>
      <c r="CV11" s="71"/>
      <c r="CW11" s="71"/>
      <c r="CX11" s="71"/>
      <c r="CY11" s="71"/>
      <c r="CZ11" s="71"/>
      <c r="DA11" s="71"/>
      <c r="DB11" s="71"/>
      <c r="DC11" s="71"/>
      <c r="DD11" s="76"/>
    </row>
    <row r="12" spans="1:108" s="20" customFormat="1" ht="115.5" customHeight="1">
      <c r="A12" s="25" t="s">
        <v>13</v>
      </c>
      <c r="B12" s="20" t="s">
        <v>238</v>
      </c>
      <c r="C12" s="20" t="s">
        <v>631</v>
      </c>
      <c r="D12" s="20" t="s">
        <v>630</v>
      </c>
      <c r="E12" s="20">
        <v>1</v>
      </c>
      <c r="F12" s="20" t="s">
        <v>245</v>
      </c>
      <c r="G12" s="60">
        <v>1300</v>
      </c>
      <c r="I12" s="20" t="s">
        <v>17</v>
      </c>
      <c r="J12" s="20">
        <v>2</v>
      </c>
      <c r="K12" s="34"/>
      <c r="M12" s="20" t="s">
        <v>22</v>
      </c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/>
      <c r="CT12" s="71"/>
      <c r="CU12" s="71"/>
      <c r="CV12" s="71"/>
      <c r="CW12" s="71"/>
      <c r="CX12" s="71"/>
      <c r="CY12" s="71"/>
      <c r="CZ12" s="71"/>
      <c r="DA12" s="71"/>
      <c r="DB12" s="71"/>
      <c r="DC12" s="71"/>
      <c r="DD12" s="76"/>
    </row>
    <row r="13" spans="1:108" s="19" customFormat="1" ht="108.75" customHeight="1">
      <c r="A13" s="25" t="s">
        <v>13</v>
      </c>
      <c r="B13" s="20"/>
      <c r="C13" s="20" t="s">
        <v>632</v>
      </c>
      <c r="D13" s="20" t="s">
        <v>633</v>
      </c>
      <c r="E13" s="20">
        <v>1</v>
      </c>
      <c r="F13" s="20" t="s">
        <v>483</v>
      </c>
      <c r="G13" s="60">
        <v>1300</v>
      </c>
      <c r="H13" s="20">
        <v>16</v>
      </c>
      <c r="I13" s="20" t="s">
        <v>17</v>
      </c>
      <c r="J13" s="20">
        <v>2</v>
      </c>
      <c r="K13" s="34">
        <v>45134</v>
      </c>
      <c r="L13" s="20"/>
      <c r="M13" s="20" t="s">
        <v>172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108" s="20" customFormat="1" ht="115.5" customHeight="1">
      <c r="A14" s="25" t="s">
        <v>13</v>
      </c>
      <c r="B14" s="55" t="s">
        <v>634</v>
      </c>
      <c r="C14" s="20" t="s">
        <v>635</v>
      </c>
      <c r="D14" s="20" t="s">
        <v>636</v>
      </c>
      <c r="E14" s="20">
        <v>3</v>
      </c>
      <c r="F14" s="20" t="s">
        <v>309</v>
      </c>
      <c r="G14" s="60">
        <v>3900</v>
      </c>
      <c r="I14" s="20" t="s">
        <v>17</v>
      </c>
      <c r="J14" s="20">
        <v>2</v>
      </c>
      <c r="K14" s="34"/>
      <c r="M14" s="20" t="s">
        <v>22</v>
      </c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1"/>
      <c r="DA14" s="71"/>
      <c r="DB14" s="71"/>
      <c r="DC14" s="71"/>
      <c r="DD14" s="76"/>
    </row>
    <row r="15" spans="1:108" s="19" customFormat="1" ht="86.25" customHeight="1">
      <c r="A15" s="20" t="s">
        <v>13</v>
      </c>
      <c r="B15" s="20"/>
      <c r="C15" s="20" t="s">
        <v>637</v>
      </c>
      <c r="D15" s="20" t="s">
        <v>638</v>
      </c>
      <c r="E15" s="20">
        <v>1</v>
      </c>
      <c r="F15" s="20" t="s">
        <v>21</v>
      </c>
      <c r="G15" s="60">
        <v>1300</v>
      </c>
      <c r="H15" s="20">
        <v>4</v>
      </c>
      <c r="I15" s="20" t="s">
        <v>17</v>
      </c>
      <c r="J15" s="20">
        <v>2</v>
      </c>
      <c r="K15" s="34"/>
      <c r="L15" s="20"/>
      <c r="M15" s="20" t="s">
        <v>22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108" s="19" customFormat="1" ht="97.5" customHeight="1">
      <c r="A16" s="20" t="s">
        <v>13</v>
      </c>
      <c r="B16" s="20"/>
      <c r="C16" s="20" t="s">
        <v>637</v>
      </c>
      <c r="D16" s="20" t="s">
        <v>639</v>
      </c>
      <c r="E16" s="20">
        <v>1</v>
      </c>
      <c r="F16" s="20" t="s">
        <v>21</v>
      </c>
      <c r="G16" s="60">
        <v>1300</v>
      </c>
      <c r="H16" s="20" t="s">
        <v>147</v>
      </c>
      <c r="I16" s="20" t="s">
        <v>17</v>
      </c>
      <c r="J16" s="20">
        <v>2</v>
      </c>
      <c r="K16" s="34"/>
      <c r="L16" s="20"/>
      <c r="M16" s="20" t="s">
        <v>22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108" s="19" customFormat="1" ht="105">
      <c r="A17" s="20" t="s">
        <v>73</v>
      </c>
      <c r="B17" s="20"/>
      <c r="C17" s="20" t="s">
        <v>640</v>
      </c>
      <c r="D17" s="34" t="s">
        <v>641</v>
      </c>
      <c r="E17" s="20">
        <v>1</v>
      </c>
      <c r="F17" s="20" t="s">
        <v>76</v>
      </c>
      <c r="G17" s="60">
        <v>600</v>
      </c>
      <c r="H17" s="20">
        <v>5</v>
      </c>
      <c r="I17" s="20" t="s">
        <v>77</v>
      </c>
      <c r="J17" s="20"/>
      <c r="K17" s="20"/>
      <c r="L17" s="20"/>
      <c r="M17" s="20" t="s">
        <v>78</v>
      </c>
    </row>
    <row r="18" spans="1:108" s="59" customFormat="1" ht="84.75" customHeight="1">
      <c r="A18" s="25" t="s">
        <v>13</v>
      </c>
      <c r="B18" s="20"/>
      <c r="C18" s="20" t="s">
        <v>642</v>
      </c>
      <c r="D18" s="20" t="s">
        <v>643</v>
      </c>
      <c r="E18" s="20">
        <v>1</v>
      </c>
      <c r="F18" s="61" t="s">
        <v>578</v>
      </c>
      <c r="G18" s="60">
        <v>1300</v>
      </c>
      <c r="H18" s="20"/>
      <c r="I18" s="20" t="s">
        <v>17</v>
      </c>
      <c r="J18" s="20">
        <v>2</v>
      </c>
      <c r="K18" s="34">
        <v>44983</v>
      </c>
      <c r="L18" s="20"/>
      <c r="M18" s="20" t="s">
        <v>22</v>
      </c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74"/>
      <c r="CU18" s="74"/>
      <c r="CV18" s="74"/>
      <c r="CW18" s="74"/>
      <c r="CX18" s="74"/>
      <c r="CY18" s="74"/>
      <c r="CZ18" s="74"/>
      <c r="DA18" s="74"/>
      <c r="DB18" s="74"/>
      <c r="DC18" s="74"/>
      <c r="DD18" s="77"/>
    </row>
    <row r="19" spans="1:108" s="19" customFormat="1" ht="80.25" customHeight="1">
      <c r="A19" s="25" t="s">
        <v>13</v>
      </c>
      <c r="B19" s="79" t="s">
        <v>110</v>
      </c>
      <c r="C19" s="20" t="s">
        <v>644</v>
      </c>
      <c r="D19" s="20" t="s">
        <v>645</v>
      </c>
      <c r="E19" s="20">
        <v>1</v>
      </c>
      <c r="F19" s="20" t="s">
        <v>113</v>
      </c>
      <c r="G19" s="60">
        <v>1300</v>
      </c>
      <c r="H19" s="20">
        <v>30</v>
      </c>
      <c r="I19" s="20" t="s">
        <v>17</v>
      </c>
      <c r="J19" s="20">
        <v>2</v>
      </c>
      <c r="K19" s="34">
        <v>45064</v>
      </c>
      <c r="L19" s="20"/>
      <c r="M19" s="20" t="s">
        <v>33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108" s="19" customFormat="1" ht="93.75" customHeight="1">
      <c r="A20" s="25" t="s">
        <v>13</v>
      </c>
      <c r="B20" s="56" t="s">
        <v>114</v>
      </c>
      <c r="C20" s="20" t="s">
        <v>646</v>
      </c>
      <c r="D20" s="20" t="s">
        <v>647</v>
      </c>
      <c r="E20" s="20">
        <v>1</v>
      </c>
      <c r="F20" s="20" t="s">
        <v>117</v>
      </c>
      <c r="G20" s="60">
        <v>950</v>
      </c>
      <c r="H20" s="20">
        <v>30</v>
      </c>
      <c r="I20" s="20" t="s">
        <v>17</v>
      </c>
      <c r="J20" s="20">
        <v>2</v>
      </c>
      <c r="K20" s="34">
        <v>45040</v>
      </c>
      <c r="L20" s="20"/>
      <c r="M20" s="20" t="s">
        <v>33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108" s="59" customFormat="1" ht="84.75" customHeight="1">
      <c r="A21" s="25" t="s">
        <v>13</v>
      </c>
      <c r="B21" s="20" t="s">
        <v>583</v>
      </c>
      <c r="C21" s="20" t="s">
        <v>648</v>
      </c>
      <c r="D21" s="20" t="s">
        <v>649</v>
      </c>
      <c r="E21" s="20">
        <v>1</v>
      </c>
      <c r="F21" s="61" t="s">
        <v>586</v>
      </c>
      <c r="G21" s="60">
        <v>1300</v>
      </c>
      <c r="H21" s="20"/>
      <c r="I21" s="20" t="s">
        <v>17</v>
      </c>
      <c r="J21" s="20">
        <v>2</v>
      </c>
      <c r="K21" s="34">
        <v>45357</v>
      </c>
      <c r="L21" s="20"/>
      <c r="M21" s="20" t="s">
        <v>22</v>
      </c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  <c r="BV21" s="74"/>
      <c r="BW21" s="74"/>
      <c r="BX21" s="74"/>
      <c r="BY21" s="74"/>
      <c r="BZ21" s="74"/>
      <c r="CA21" s="74"/>
      <c r="CB21" s="74"/>
      <c r="CC21" s="74"/>
      <c r="CD21" s="74"/>
      <c r="CE21" s="74"/>
      <c r="CF21" s="74"/>
      <c r="CG21" s="74"/>
      <c r="CH21" s="74"/>
      <c r="CI21" s="74"/>
      <c r="CJ21" s="74"/>
      <c r="CK21" s="74"/>
      <c r="CL21" s="74"/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7"/>
    </row>
    <row r="22" spans="1:108" ht="42" customHeight="1">
      <c r="A22" s="67"/>
      <c r="B22" s="67"/>
      <c r="C22" s="67"/>
      <c r="D22" s="67"/>
      <c r="E22" s="68">
        <f>SUM(E2:E21)</f>
        <v>26</v>
      </c>
      <c r="F22" s="67"/>
      <c r="G22" s="69">
        <f>SUM(G2:G21)</f>
        <v>29950</v>
      </c>
      <c r="H22" s="67"/>
      <c r="I22" s="67"/>
      <c r="J22" s="67"/>
      <c r="K22" s="67"/>
      <c r="L22" s="67"/>
      <c r="M22" s="6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10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108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</sheetData>
  <autoFilter ref="A1:DD22" xr:uid="{00000000-0009-0000-0000-00000E000000}"/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16"/>
  <dimension ref="A1:DD28"/>
  <sheetViews>
    <sheetView workbookViewId="0">
      <selection activeCell="F22" sqref="F22"/>
    </sheetView>
  </sheetViews>
  <sheetFormatPr defaultColWidth="9" defaultRowHeight="15"/>
  <cols>
    <col min="1" max="1" width="21.28515625" customWidth="1"/>
    <col min="2" max="2" width="17.140625" customWidth="1"/>
    <col min="3" max="4" width="14.5703125" customWidth="1"/>
    <col min="5" max="5" width="10.85546875" customWidth="1"/>
    <col min="6" max="6" width="24.42578125" customWidth="1"/>
    <col min="7" max="7" width="12.28515625" customWidth="1"/>
    <col min="9" max="9" width="15.140625" customWidth="1"/>
    <col min="10" max="10" width="12.85546875" customWidth="1"/>
    <col min="11" max="11" width="10.85546875" customWidth="1"/>
    <col min="13" max="13" width="58.140625" customWidth="1"/>
  </cols>
  <sheetData>
    <row r="1" spans="1:108" s="58" customFormat="1" ht="70.5" customHeight="1">
      <c r="A1" s="5" t="s">
        <v>0</v>
      </c>
      <c r="B1" s="7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</row>
    <row r="2" spans="1:108" s="59" customFormat="1" ht="84.75" customHeight="1">
      <c r="A2" s="25" t="s">
        <v>13</v>
      </c>
      <c r="B2" s="20"/>
      <c r="C2" s="20" t="s">
        <v>650</v>
      </c>
      <c r="D2" s="20" t="s">
        <v>651</v>
      </c>
      <c r="E2" s="20">
        <v>1</v>
      </c>
      <c r="F2" s="22" t="s">
        <v>652</v>
      </c>
      <c r="G2" s="60">
        <v>1300</v>
      </c>
      <c r="H2" s="20"/>
      <c r="I2" s="20" t="s">
        <v>17</v>
      </c>
      <c r="J2" s="20">
        <v>1</v>
      </c>
      <c r="K2" s="34">
        <v>45449</v>
      </c>
      <c r="L2" s="20"/>
      <c r="M2" s="20" t="s">
        <v>653</v>
      </c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7"/>
    </row>
    <row r="3" spans="1:108" s="59" customFormat="1" ht="84.75" customHeight="1">
      <c r="A3" s="25" t="s">
        <v>13</v>
      </c>
      <c r="B3" s="20"/>
      <c r="C3" s="20" t="s">
        <v>654</v>
      </c>
      <c r="D3" s="20" t="s">
        <v>655</v>
      </c>
      <c r="E3" s="20">
        <v>1</v>
      </c>
      <c r="F3" s="22" t="s">
        <v>656</v>
      </c>
      <c r="G3" s="60">
        <v>1300</v>
      </c>
      <c r="H3" s="20"/>
      <c r="I3" s="20" t="s">
        <v>17</v>
      </c>
      <c r="J3" s="20">
        <v>1</v>
      </c>
      <c r="K3" s="34">
        <v>45433</v>
      </c>
      <c r="L3" s="20"/>
      <c r="M3" s="20" t="s">
        <v>657</v>
      </c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74"/>
      <c r="BY3" s="74"/>
      <c r="BZ3" s="74"/>
      <c r="CA3" s="74"/>
      <c r="CB3" s="74"/>
      <c r="CC3" s="74"/>
      <c r="CD3" s="74"/>
      <c r="CE3" s="74"/>
      <c r="CF3" s="74"/>
      <c r="CG3" s="74"/>
      <c r="CH3" s="74"/>
      <c r="CI3" s="74"/>
      <c r="CJ3" s="74"/>
      <c r="CK3" s="74"/>
      <c r="CL3" s="74"/>
      <c r="CM3" s="74"/>
      <c r="CN3" s="74"/>
      <c r="CO3" s="74"/>
      <c r="CP3" s="74"/>
      <c r="CQ3" s="74"/>
      <c r="CR3" s="74"/>
      <c r="CS3" s="74"/>
      <c r="CT3" s="74"/>
      <c r="CU3" s="74"/>
      <c r="CV3" s="74"/>
      <c r="CW3" s="74"/>
      <c r="CX3" s="74"/>
      <c r="CY3" s="74"/>
      <c r="CZ3" s="74"/>
      <c r="DA3" s="74"/>
      <c r="DB3" s="74"/>
      <c r="DC3" s="74"/>
      <c r="DD3" s="77"/>
    </row>
    <row r="4" spans="1:108" s="59" customFormat="1" ht="84.75" customHeight="1">
      <c r="A4" s="25" t="s">
        <v>13</v>
      </c>
      <c r="B4" s="54" t="s">
        <v>658</v>
      </c>
      <c r="C4" s="20" t="s">
        <v>659</v>
      </c>
      <c r="D4" s="20" t="s">
        <v>660</v>
      </c>
      <c r="E4" s="20">
        <v>1</v>
      </c>
      <c r="F4" s="27" t="s">
        <v>661</v>
      </c>
      <c r="G4" s="60">
        <v>800</v>
      </c>
      <c r="H4" s="20"/>
      <c r="I4" s="20" t="s">
        <v>17</v>
      </c>
      <c r="J4" s="20">
        <v>1</v>
      </c>
      <c r="K4" s="34">
        <v>45433</v>
      </c>
      <c r="L4" s="20"/>
      <c r="M4" s="20" t="s">
        <v>22</v>
      </c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BZ4" s="74"/>
      <c r="CA4" s="74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4"/>
      <c r="CM4" s="74"/>
      <c r="CN4" s="74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4"/>
      <c r="CZ4" s="74"/>
      <c r="DA4" s="74"/>
      <c r="DB4" s="74"/>
      <c r="DC4" s="74"/>
      <c r="DD4" s="77"/>
    </row>
    <row r="5" spans="1:108" s="59" customFormat="1" ht="84.75" customHeight="1">
      <c r="A5" s="25" t="s">
        <v>13</v>
      </c>
      <c r="B5" s="20" t="s">
        <v>662</v>
      </c>
      <c r="C5" s="20" t="s">
        <v>663</v>
      </c>
      <c r="D5" s="20" t="s">
        <v>664</v>
      </c>
      <c r="E5" s="20">
        <v>1</v>
      </c>
      <c r="F5" s="27" t="s">
        <v>665</v>
      </c>
      <c r="G5" s="60">
        <v>950</v>
      </c>
      <c r="H5" s="20"/>
      <c r="I5" s="20" t="s">
        <v>17</v>
      </c>
      <c r="J5" s="20">
        <v>2</v>
      </c>
      <c r="K5" s="34">
        <v>45434</v>
      </c>
      <c r="L5" s="20"/>
      <c r="M5" s="20" t="s">
        <v>22</v>
      </c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  <c r="BS5" s="74"/>
      <c r="BT5" s="74"/>
      <c r="BU5" s="74"/>
      <c r="BV5" s="74"/>
      <c r="BW5" s="74"/>
      <c r="BX5" s="74"/>
      <c r="BY5" s="74"/>
      <c r="BZ5" s="74"/>
      <c r="CA5" s="74"/>
      <c r="CB5" s="74"/>
      <c r="CC5" s="74"/>
      <c r="CD5" s="74"/>
      <c r="CE5" s="74"/>
      <c r="CF5" s="74"/>
      <c r="CG5" s="74"/>
      <c r="CH5" s="74"/>
      <c r="CI5" s="74"/>
      <c r="CJ5" s="74"/>
      <c r="CK5" s="74"/>
      <c r="CL5" s="74"/>
      <c r="CM5" s="74"/>
      <c r="CN5" s="74"/>
      <c r="CO5" s="74"/>
      <c r="CP5" s="74"/>
      <c r="CQ5" s="74"/>
      <c r="CR5" s="74"/>
      <c r="CS5" s="74"/>
      <c r="CT5" s="74"/>
      <c r="CU5" s="74"/>
      <c r="CV5" s="74"/>
      <c r="CW5" s="74"/>
      <c r="CX5" s="74"/>
      <c r="CY5" s="74"/>
      <c r="CZ5" s="74"/>
      <c r="DA5" s="74"/>
      <c r="DB5" s="74"/>
      <c r="DC5" s="74"/>
      <c r="DD5" s="77"/>
    </row>
    <row r="6" spans="1:108" s="59" customFormat="1" ht="84.75" customHeight="1">
      <c r="A6" s="25" t="s">
        <v>13</v>
      </c>
      <c r="B6" s="20" t="s">
        <v>662</v>
      </c>
      <c r="C6" s="20" t="s">
        <v>666</v>
      </c>
      <c r="D6" s="20" t="s">
        <v>655</v>
      </c>
      <c r="E6" s="20">
        <v>1</v>
      </c>
      <c r="F6" s="27" t="s">
        <v>667</v>
      </c>
      <c r="G6" s="60">
        <v>950</v>
      </c>
      <c r="H6" s="20"/>
      <c r="I6" s="20" t="s">
        <v>17</v>
      </c>
      <c r="J6" s="20">
        <v>2</v>
      </c>
      <c r="K6" s="34">
        <v>45391</v>
      </c>
      <c r="L6" s="20"/>
      <c r="M6" s="20" t="s">
        <v>22</v>
      </c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/>
      <c r="BR6" s="74"/>
      <c r="BS6" s="74"/>
      <c r="BT6" s="74"/>
      <c r="BU6" s="74"/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  <c r="DA6" s="74"/>
      <c r="DB6" s="74"/>
      <c r="DC6" s="74"/>
      <c r="DD6" s="77"/>
    </row>
    <row r="7" spans="1:108" s="59" customFormat="1" ht="84.75" customHeight="1">
      <c r="A7" s="25" t="s">
        <v>13</v>
      </c>
      <c r="B7" s="54" t="s">
        <v>668</v>
      </c>
      <c r="C7" s="20" t="s">
        <v>669</v>
      </c>
      <c r="D7" s="20" t="s">
        <v>655</v>
      </c>
      <c r="E7" s="20">
        <v>1</v>
      </c>
      <c r="F7" s="27" t="s">
        <v>670</v>
      </c>
      <c r="G7" s="60">
        <v>950</v>
      </c>
      <c r="H7" s="20"/>
      <c r="I7" s="20" t="s">
        <v>17</v>
      </c>
      <c r="J7" s="20">
        <v>2</v>
      </c>
      <c r="K7" s="34">
        <v>45391</v>
      </c>
      <c r="L7" s="20"/>
      <c r="M7" s="20" t="s">
        <v>22</v>
      </c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4"/>
      <c r="BS7" s="74"/>
      <c r="BT7" s="74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74"/>
      <c r="CU7" s="74"/>
      <c r="CV7" s="74"/>
      <c r="CW7" s="74"/>
      <c r="CX7" s="74"/>
      <c r="CY7" s="74"/>
      <c r="CZ7" s="74"/>
      <c r="DA7" s="74"/>
      <c r="DB7" s="74"/>
      <c r="DC7" s="74"/>
      <c r="DD7" s="77"/>
    </row>
    <row r="8" spans="1:108" s="59" customFormat="1" ht="84.75" customHeight="1">
      <c r="A8" s="25" t="s">
        <v>13</v>
      </c>
      <c r="B8" s="20"/>
      <c r="C8" s="20" t="s">
        <v>671</v>
      </c>
      <c r="D8" s="20" t="s">
        <v>672</v>
      </c>
      <c r="E8" s="20">
        <v>1</v>
      </c>
      <c r="F8" s="27" t="s">
        <v>279</v>
      </c>
      <c r="G8" s="60">
        <v>950</v>
      </c>
      <c r="H8" s="20"/>
      <c r="I8" s="20" t="s">
        <v>17</v>
      </c>
      <c r="J8" s="20">
        <v>2</v>
      </c>
      <c r="K8" s="34">
        <v>45391</v>
      </c>
      <c r="L8" s="20"/>
      <c r="M8" s="20" t="s">
        <v>22</v>
      </c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4"/>
      <c r="BS8" s="74"/>
      <c r="BT8" s="74"/>
      <c r="BU8" s="74"/>
      <c r="BV8" s="74"/>
      <c r="BW8" s="74"/>
      <c r="BX8" s="74"/>
      <c r="BY8" s="74"/>
      <c r="BZ8" s="74"/>
      <c r="CA8" s="74"/>
      <c r="CB8" s="74"/>
      <c r="CC8" s="74"/>
      <c r="CD8" s="74"/>
      <c r="CE8" s="74"/>
      <c r="CF8" s="74"/>
      <c r="CG8" s="74"/>
      <c r="CH8" s="74"/>
      <c r="CI8" s="74"/>
      <c r="CJ8" s="74"/>
      <c r="CK8" s="74"/>
      <c r="CL8" s="74"/>
      <c r="CM8" s="74"/>
      <c r="CN8" s="74"/>
      <c r="CO8" s="74"/>
      <c r="CP8" s="74"/>
      <c r="CQ8" s="74"/>
      <c r="CR8" s="74"/>
      <c r="CS8" s="74"/>
      <c r="CT8" s="74"/>
      <c r="CU8" s="74"/>
      <c r="CV8" s="74"/>
      <c r="CW8" s="74"/>
      <c r="CX8" s="74"/>
      <c r="CY8" s="74"/>
      <c r="CZ8" s="74"/>
      <c r="DA8" s="74"/>
      <c r="DB8" s="74"/>
      <c r="DC8" s="74"/>
      <c r="DD8" s="77"/>
    </row>
    <row r="9" spans="1:108" s="59" customFormat="1" ht="89.25" customHeight="1">
      <c r="A9" s="25" t="s">
        <v>13</v>
      </c>
      <c r="B9" s="28"/>
      <c r="C9" s="20" t="s">
        <v>673</v>
      </c>
      <c r="D9" s="20" t="s">
        <v>674</v>
      </c>
      <c r="E9" s="20">
        <v>2</v>
      </c>
      <c r="F9" s="61" t="s">
        <v>675</v>
      </c>
      <c r="G9" s="60">
        <v>2600</v>
      </c>
      <c r="H9" s="20"/>
      <c r="I9" s="20" t="s">
        <v>17</v>
      </c>
      <c r="J9" s="20">
        <v>2</v>
      </c>
      <c r="K9" s="34">
        <v>45394</v>
      </c>
      <c r="L9" s="20"/>
      <c r="M9" s="20" t="s">
        <v>22</v>
      </c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C9" s="74"/>
      <c r="DD9" s="77"/>
    </row>
    <row r="10" spans="1:108" s="59" customFormat="1" ht="89.25" customHeight="1">
      <c r="A10" s="25" t="s">
        <v>13</v>
      </c>
      <c r="B10" s="28"/>
      <c r="C10" s="20" t="s">
        <v>676</v>
      </c>
      <c r="D10" s="20" t="s">
        <v>677</v>
      </c>
      <c r="E10" s="20">
        <v>1</v>
      </c>
      <c r="F10" s="61" t="s">
        <v>678</v>
      </c>
      <c r="G10" s="60">
        <v>1300</v>
      </c>
      <c r="H10" s="20"/>
      <c r="I10" s="20" t="s">
        <v>17</v>
      </c>
      <c r="J10" s="20">
        <v>2</v>
      </c>
      <c r="K10" s="34">
        <v>45393</v>
      </c>
      <c r="L10" s="20"/>
      <c r="M10" s="20" t="s">
        <v>22</v>
      </c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/>
      <c r="CT10" s="74"/>
      <c r="CU10" s="74"/>
      <c r="CV10" s="74"/>
      <c r="CW10" s="74"/>
      <c r="CX10" s="74"/>
      <c r="CY10" s="74"/>
      <c r="CZ10" s="74"/>
      <c r="DA10" s="74"/>
      <c r="DB10" s="74"/>
      <c r="DC10" s="74"/>
      <c r="DD10" s="77"/>
    </row>
    <row r="11" spans="1:108" s="59" customFormat="1" ht="89.25" customHeight="1">
      <c r="A11" s="25" t="s">
        <v>13</v>
      </c>
      <c r="B11" s="53" t="s">
        <v>679</v>
      </c>
      <c r="C11" s="20" t="s">
        <v>680</v>
      </c>
      <c r="D11" s="20" t="s">
        <v>681</v>
      </c>
      <c r="E11" s="20">
        <v>1</v>
      </c>
      <c r="F11" s="61" t="s">
        <v>615</v>
      </c>
      <c r="G11" s="60">
        <v>950</v>
      </c>
      <c r="H11" s="20"/>
      <c r="I11" s="20" t="s">
        <v>17</v>
      </c>
      <c r="J11" s="20">
        <v>2</v>
      </c>
      <c r="K11" s="34">
        <v>45397</v>
      </c>
      <c r="L11" s="20"/>
      <c r="M11" s="20" t="s">
        <v>22</v>
      </c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 s="74"/>
      <c r="CI11" s="74"/>
      <c r="CJ11" s="74"/>
      <c r="CK11" s="74"/>
      <c r="CL11" s="74"/>
      <c r="CM11" s="74"/>
      <c r="CN11" s="74"/>
      <c r="CO11" s="74"/>
      <c r="CP11" s="74"/>
      <c r="CQ11" s="74"/>
      <c r="CR11" s="74"/>
      <c r="CS11" s="74"/>
      <c r="CT11" s="74"/>
      <c r="CU11" s="74"/>
      <c r="CV11" s="74"/>
      <c r="CW11" s="74"/>
      <c r="CX11" s="74"/>
      <c r="CY11" s="74"/>
      <c r="CZ11" s="74"/>
      <c r="DA11" s="74"/>
      <c r="DB11" s="74"/>
      <c r="DC11" s="74"/>
      <c r="DD11" s="77"/>
    </row>
    <row r="12" spans="1:108" s="20" customFormat="1" ht="115.5" customHeight="1">
      <c r="A12" s="25" t="s">
        <v>13</v>
      </c>
      <c r="B12" s="20" t="s">
        <v>276</v>
      </c>
      <c r="C12" s="20" t="s">
        <v>682</v>
      </c>
      <c r="D12" s="20" t="s">
        <v>618</v>
      </c>
      <c r="E12" s="20">
        <v>4</v>
      </c>
      <c r="F12" s="20" t="s">
        <v>279</v>
      </c>
      <c r="G12" s="60">
        <v>3800</v>
      </c>
      <c r="I12" s="20" t="s">
        <v>17</v>
      </c>
      <c r="J12" s="20">
        <v>2</v>
      </c>
      <c r="K12" s="34"/>
      <c r="M12" s="20" t="s">
        <v>22</v>
      </c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/>
      <c r="CT12" s="71"/>
      <c r="CU12" s="71"/>
      <c r="CV12" s="71"/>
      <c r="CW12" s="71"/>
      <c r="CX12" s="71"/>
      <c r="CY12" s="71"/>
      <c r="CZ12" s="71"/>
      <c r="DA12" s="71"/>
      <c r="DB12" s="71"/>
      <c r="DC12" s="71"/>
      <c r="DD12" s="76"/>
    </row>
    <row r="13" spans="1:108" s="20" customFormat="1" ht="115.5" customHeight="1">
      <c r="A13" s="25" t="s">
        <v>13</v>
      </c>
      <c r="B13" s="20" t="s">
        <v>234</v>
      </c>
      <c r="C13" s="20" t="s">
        <v>683</v>
      </c>
      <c r="D13" s="20" t="s">
        <v>684</v>
      </c>
      <c r="E13" s="20">
        <v>1</v>
      </c>
      <c r="F13" s="20" t="s">
        <v>237</v>
      </c>
      <c r="G13" s="60">
        <v>1300</v>
      </c>
      <c r="I13" s="20" t="s">
        <v>17</v>
      </c>
      <c r="J13" s="20">
        <v>2</v>
      </c>
      <c r="K13" s="34"/>
      <c r="M13" s="20" t="s">
        <v>22</v>
      </c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6"/>
    </row>
    <row r="14" spans="1:108" s="20" customFormat="1" ht="115.5" customHeight="1">
      <c r="A14" s="25" t="s">
        <v>13</v>
      </c>
      <c r="C14" s="20" t="s">
        <v>685</v>
      </c>
      <c r="D14" s="20" t="s">
        <v>686</v>
      </c>
      <c r="E14" s="20">
        <v>1</v>
      </c>
      <c r="F14" s="20" t="s">
        <v>241</v>
      </c>
      <c r="G14" s="60">
        <v>1300</v>
      </c>
      <c r="I14" s="20" t="s">
        <v>17</v>
      </c>
      <c r="J14" s="20">
        <v>2</v>
      </c>
      <c r="K14" s="34"/>
      <c r="M14" s="20" t="s">
        <v>22</v>
      </c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1"/>
      <c r="DA14" s="71"/>
      <c r="DB14" s="71"/>
      <c r="DC14" s="71"/>
      <c r="DD14" s="76"/>
    </row>
    <row r="15" spans="1:108" s="20" customFormat="1" ht="115.5" customHeight="1">
      <c r="A15" s="25" t="s">
        <v>13</v>
      </c>
      <c r="B15" s="20" t="s">
        <v>238</v>
      </c>
      <c r="C15" s="20" t="s">
        <v>687</v>
      </c>
      <c r="D15" s="20" t="s">
        <v>686</v>
      </c>
      <c r="E15" s="20">
        <v>1</v>
      </c>
      <c r="F15" s="20" t="s">
        <v>245</v>
      </c>
      <c r="G15" s="60">
        <v>1300</v>
      </c>
      <c r="I15" s="20" t="s">
        <v>17</v>
      </c>
      <c r="J15" s="20">
        <v>2</v>
      </c>
      <c r="K15" s="34"/>
      <c r="M15" s="20" t="s">
        <v>22</v>
      </c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  <c r="CP15" s="71"/>
      <c r="CQ15" s="71"/>
      <c r="CR15" s="71"/>
      <c r="CS15" s="71"/>
      <c r="CT15" s="71"/>
      <c r="CU15" s="71"/>
      <c r="CV15" s="71"/>
      <c r="CW15" s="71"/>
      <c r="CX15" s="71"/>
      <c r="CY15" s="71"/>
      <c r="CZ15" s="71"/>
      <c r="DA15" s="71"/>
      <c r="DB15" s="71"/>
      <c r="DC15" s="71"/>
      <c r="DD15" s="76"/>
    </row>
    <row r="16" spans="1:108" s="19" customFormat="1" ht="108.75" customHeight="1">
      <c r="A16" s="25" t="s">
        <v>13</v>
      </c>
      <c r="B16" s="20"/>
      <c r="C16" s="20" t="s">
        <v>688</v>
      </c>
      <c r="D16" s="20" t="s">
        <v>689</v>
      </c>
      <c r="E16" s="20">
        <v>1</v>
      </c>
      <c r="F16" s="20" t="s">
        <v>483</v>
      </c>
      <c r="G16" s="60">
        <v>1300</v>
      </c>
      <c r="H16" s="20">
        <v>16</v>
      </c>
      <c r="I16" s="20" t="s">
        <v>17</v>
      </c>
      <c r="J16" s="20">
        <v>2</v>
      </c>
      <c r="K16" s="34">
        <v>45134</v>
      </c>
      <c r="L16" s="20"/>
      <c r="M16" s="20" t="s">
        <v>172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108" s="20" customFormat="1" ht="115.5" customHeight="1">
      <c r="A17" s="25" t="s">
        <v>13</v>
      </c>
      <c r="B17" s="52"/>
      <c r="C17" s="20" t="s">
        <v>690</v>
      </c>
      <c r="D17" s="20" t="s">
        <v>691</v>
      </c>
      <c r="E17" s="20">
        <v>2</v>
      </c>
      <c r="F17" s="20" t="s">
        <v>309</v>
      </c>
      <c r="G17" s="60">
        <v>2600</v>
      </c>
      <c r="I17" s="20" t="s">
        <v>17</v>
      </c>
      <c r="J17" s="20">
        <v>2</v>
      </c>
      <c r="K17" s="34"/>
      <c r="M17" s="20" t="s">
        <v>22</v>
      </c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1"/>
      <c r="CU17" s="71"/>
      <c r="CV17" s="71"/>
      <c r="CW17" s="71"/>
      <c r="CX17" s="71"/>
      <c r="CY17" s="71"/>
      <c r="CZ17" s="71"/>
      <c r="DA17" s="71"/>
      <c r="DB17" s="71"/>
      <c r="DC17" s="71"/>
      <c r="DD17" s="76"/>
    </row>
    <row r="18" spans="1:108" s="20" customFormat="1" ht="115.5" customHeight="1">
      <c r="A18" s="25" t="s">
        <v>13</v>
      </c>
      <c r="B18" s="52"/>
      <c r="C18" s="20" t="s">
        <v>692</v>
      </c>
      <c r="D18" s="20" t="s">
        <v>691</v>
      </c>
      <c r="E18" s="20">
        <v>1</v>
      </c>
      <c r="F18" s="20" t="s">
        <v>693</v>
      </c>
      <c r="G18" s="60">
        <v>1300</v>
      </c>
      <c r="I18" s="20" t="s">
        <v>17</v>
      </c>
      <c r="J18" s="20">
        <v>2</v>
      </c>
      <c r="K18" s="34"/>
      <c r="M18" s="20" t="s">
        <v>22</v>
      </c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71"/>
      <c r="CL18" s="71"/>
      <c r="CM18" s="71"/>
      <c r="CN18" s="71"/>
      <c r="CO18" s="71"/>
      <c r="CP18" s="71"/>
      <c r="CQ18" s="71"/>
      <c r="CR18" s="71"/>
      <c r="CS18" s="71"/>
      <c r="CT18" s="71"/>
      <c r="CU18" s="71"/>
      <c r="CV18" s="71"/>
      <c r="CW18" s="71"/>
      <c r="CX18" s="71"/>
      <c r="CY18" s="71"/>
      <c r="CZ18" s="71"/>
      <c r="DA18" s="71"/>
      <c r="DB18" s="71"/>
      <c r="DC18" s="71"/>
      <c r="DD18" s="76"/>
    </row>
    <row r="19" spans="1:108" s="19" customFormat="1" ht="86.25" customHeight="1">
      <c r="A19" s="20" t="s">
        <v>13</v>
      </c>
      <c r="B19" s="20"/>
      <c r="C19" s="20" t="s">
        <v>694</v>
      </c>
      <c r="D19" s="20" t="s">
        <v>638</v>
      </c>
      <c r="E19" s="20">
        <v>1</v>
      </c>
      <c r="F19" s="20" t="s">
        <v>21</v>
      </c>
      <c r="G19" s="60">
        <v>1300</v>
      </c>
      <c r="H19" s="20">
        <v>4</v>
      </c>
      <c r="I19" s="20" t="s">
        <v>17</v>
      </c>
      <c r="J19" s="20">
        <v>2</v>
      </c>
      <c r="K19" s="34"/>
      <c r="L19" s="20"/>
      <c r="M19" s="20" t="s">
        <v>22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108" s="19" customFormat="1" ht="86.25" customHeight="1">
      <c r="A20" s="20" t="s">
        <v>13</v>
      </c>
      <c r="B20" s="20"/>
      <c r="C20" s="20" t="s">
        <v>694</v>
      </c>
      <c r="D20" s="20" t="s">
        <v>695</v>
      </c>
      <c r="E20" s="20">
        <v>1</v>
      </c>
      <c r="F20" s="20" t="s">
        <v>21</v>
      </c>
      <c r="G20" s="60">
        <v>1300</v>
      </c>
      <c r="H20" s="20">
        <v>4</v>
      </c>
      <c r="I20" s="20" t="s">
        <v>17</v>
      </c>
      <c r="J20" s="20">
        <v>2</v>
      </c>
      <c r="K20" s="34"/>
      <c r="L20" s="20"/>
      <c r="M20" s="20" t="s">
        <v>22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108" s="19" customFormat="1" ht="105">
      <c r="A21" s="20" t="s">
        <v>73</v>
      </c>
      <c r="B21" s="20"/>
      <c r="C21" s="20" t="s">
        <v>696</v>
      </c>
      <c r="D21" s="34" t="s">
        <v>697</v>
      </c>
      <c r="E21" s="20">
        <v>1</v>
      </c>
      <c r="F21" s="20" t="s">
        <v>76</v>
      </c>
      <c r="G21" s="60">
        <v>600</v>
      </c>
      <c r="H21" s="20">
        <v>5</v>
      </c>
      <c r="I21" s="20" t="s">
        <v>77</v>
      </c>
      <c r="J21" s="20"/>
      <c r="K21" s="20"/>
      <c r="L21" s="20"/>
      <c r="M21" s="20" t="s">
        <v>78</v>
      </c>
    </row>
    <row r="22" spans="1:108" s="59" customFormat="1" ht="84.75" customHeight="1">
      <c r="A22" s="25" t="s">
        <v>13</v>
      </c>
      <c r="B22" s="20"/>
      <c r="C22" s="20" t="s">
        <v>698</v>
      </c>
      <c r="D22" s="20" t="s">
        <v>699</v>
      </c>
      <c r="E22" s="20">
        <v>1</v>
      </c>
      <c r="F22" s="27" t="s">
        <v>578</v>
      </c>
      <c r="G22" s="60">
        <v>1300</v>
      </c>
      <c r="H22" s="20"/>
      <c r="I22" s="20" t="s">
        <v>17</v>
      </c>
      <c r="J22" s="20">
        <v>2</v>
      </c>
      <c r="K22" s="34">
        <v>44983</v>
      </c>
      <c r="L22" s="20"/>
      <c r="M22" s="20" t="s">
        <v>22</v>
      </c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74"/>
      <c r="BU22" s="74"/>
      <c r="BV22" s="74"/>
      <c r="BW22" s="74"/>
      <c r="BX22" s="74"/>
      <c r="BY22" s="74"/>
      <c r="BZ22" s="74"/>
      <c r="CA22" s="74"/>
      <c r="CB22" s="74"/>
      <c r="CC22" s="74"/>
      <c r="CD22" s="74"/>
      <c r="CE22" s="74"/>
      <c r="CF22" s="74"/>
      <c r="CG22" s="74"/>
      <c r="CH22" s="74"/>
      <c r="CI22" s="74"/>
      <c r="CJ22" s="74"/>
      <c r="CK22" s="74"/>
      <c r="CL22" s="74"/>
      <c r="CM22" s="74"/>
      <c r="CN22" s="74"/>
      <c r="CO22" s="74"/>
      <c r="CP22" s="74"/>
      <c r="CQ22" s="74"/>
      <c r="CR22" s="74"/>
      <c r="CS22" s="74"/>
      <c r="CT22" s="74"/>
      <c r="CU22" s="74"/>
      <c r="CV22" s="74"/>
      <c r="CW22" s="74"/>
      <c r="CX22" s="74"/>
      <c r="CY22" s="74"/>
      <c r="CZ22" s="74"/>
      <c r="DA22" s="74"/>
      <c r="DB22" s="74"/>
      <c r="DC22" s="74"/>
      <c r="DD22" s="77"/>
    </row>
    <row r="23" spans="1:108" s="19" customFormat="1" ht="80.25" customHeight="1">
      <c r="A23" s="25" t="s">
        <v>13</v>
      </c>
      <c r="B23" s="56" t="s">
        <v>110</v>
      </c>
      <c r="C23" s="20" t="s">
        <v>700</v>
      </c>
      <c r="D23" s="20" t="s">
        <v>701</v>
      </c>
      <c r="E23" s="20">
        <v>1</v>
      </c>
      <c r="F23" s="20" t="s">
        <v>113</v>
      </c>
      <c r="G23" s="60">
        <v>1300</v>
      </c>
      <c r="H23" s="20">
        <v>30</v>
      </c>
      <c r="I23" s="20" t="s">
        <v>17</v>
      </c>
      <c r="J23" s="20">
        <v>2</v>
      </c>
      <c r="K23" s="34">
        <v>45064</v>
      </c>
      <c r="L23" s="20"/>
      <c r="M23" s="20" t="s">
        <v>33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108" s="19" customFormat="1" ht="93.75" customHeight="1">
      <c r="A24" s="25" t="s">
        <v>13</v>
      </c>
      <c r="B24" s="56" t="s">
        <v>114</v>
      </c>
      <c r="C24" s="20" t="s">
        <v>702</v>
      </c>
      <c r="D24" s="20" t="s">
        <v>703</v>
      </c>
      <c r="E24" s="20">
        <v>1</v>
      </c>
      <c r="F24" s="20" t="s">
        <v>117</v>
      </c>
      <c r="G24" s="60">
        <v>950</v>
      </c>
      <c r="H24" s="20">
        <v>30</v>
      </c>
      <c r="I24" s="20" t="s">
        <v>17</v>
      </c>
      <c r="J24" s="20">
        <v>2</v>
      </c>
      <c r="K24" s="34">
        <v>45040</v>
      </c>
      <c r="L24" s="20"/>
      <c r="M24" s="20" t="s">
        <v>33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108" s="59" customFormat="1" ht="84.75" customHeight="1">
      <c r="A25" s="25" t="s">
        <v>13</v>
      </c>
      <c r="B25" s="20" t="s">
        <v>583</v>
      </c>
      <c r="C25" s="20" t="s">
        <v>704</v>
      </c>
      <c r="D25" s="20" t="s">
        <v>660</v>
      </c>
      <c r="E25" s="20">
        <v>1</v>
      </c>
      <c r="F25" s="27" t="s">
        <v>586</v>
      </c>
      <c r="G25" s="60">
        <v>1300</v>
      </c>
      <c r="H25" s="20"/>
      <c r="I25" s="20" t="s">
        <v>17</v>
      </c>
      <c r="J25" s="20">
        <v>2</v>
      </c>
      <c r="K25" s="34">
        <v>45357</v>
      </c>
      <c r="L25" s="20"/>
      <c r="M25" s="20" t="s">
        <v>22</v>
      </c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4"/>
      <c r="BP25" s="74"/>
      <c r="BQ25" s="74"/>
      <c r="BR25" s="74"/>
      <c r="BS25" s="74"/>
      <c r="BT25" s="74"/>
      <c r="BU25" s="74"/>
      <c r="BV25" s="74"/>
      <c r="BW25" s="74"/>
      <c r="BX25" s="74"/>
      <c r="BY25" s="74"/>
      <c r="BZ25" s="74"/>
      <c r="CA25" s="74"/>
      <c r="CB25" s="74"/>
      <c r="CC25" s="74"/>
      <c r="CD25" s="74"/>
      <c r="CE25" s="74"/>
      <c r="CF25" s="74"/>
      <c r="CG25" s="74"/>
      <c r="CH25" s="74"/>
      <c r="CI25" s="74"/>
      <c r="CJ25" s="74"/>
      <c r="CK25" s="74"/>
      <c r="CL25" s="74"/>
      <c r="CM25" s="74"/>
      <c r="CN25" s="74"/>
      <c r="CO25" s="74"/>
      <c r="CP25" s="74"/>
      <c r="CQ25" s="74"/>
      <c r="CR25" s="74"/>
      <c r="CS25" s="74"/>
      <c r="CT25" s="74"/>
      <c r="CU25" s="74"/>
      <c r="CV25" s="74"/>
      <c r="CW25" s="74"/>
      <c r="CX25" s="74"/>
      <c r="CY25" s="74"/>
      <c r="CZ25" s="74"/>
      <c r="DA25" s="74"/>
      <c r="DB25" s="74"/>
      <c r="DC25" s="74"/>
      <c r="DD25" s="77"/>
    </row>
    <row r="26" spans="1:108" ht="42" customHeight="1">
      <c r="A26" s="67"/>
      <c r="B26" s="67"/>
      <c r="C26" s="67"/>
      <c r="D26" s="67"/>
      <c r="E26" s="68">
        <f>SUM(E2:E25)</f>
        <v>29</v>
      </c>
      <c r="F26" s="67"/>
      <c r="G26" s="69">
        <f>SUM(G2:G25)</f>
        <v>33000</v>
      </c>
      <c r="H26" s="67"/>
      <c r="I26" s="67"/>
      <c r="J26" s="67"/>
      <c r="K26" s="67"/>
      <c r="L26" s="67"/>
      <c r="M26" s="6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10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108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</sheetData>
  <autoFilter ref="A1:DD26" xr:uid="{00000000-0009-0000-0000-00000F000000}"/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17" filterMode="1"/>
  <dimension ref="A1:DD32"/>
  <sheetViews>
    <sheetView workbookViewId="0">
      <selection activeCell="F36" sqref="F36"/>
    </sheetView>
  </sheetViews>
  <sheetFormatPr defaultColWidth="9" defaultRowHeight="15"/>
  <cols>
    <col min="1" max="1" width="21.28515625" customWidth="1"/>
    <col min="2" max="2" width="17.140625" customWidth="1"/>
    <col min="3" max="4" width="14.5703125" customWidth="1"/>
    <col min="5" max="5" width="10.85546875" customWidth="1"/>
    <col min="6" max="6" width="24.42578125" customWidth="1"/>
    <col min="7" max="7" width="12.28515625" customWidth="1"/>
    <col min="9" max="9" width="15.140625" customWidth="1"/>
    <col min="10" max="10" width="12.85546875" customWidth="1"/>
    <col min="11" max="11" width="10.85546875" customWidth="1"/>
    <col min="13" max="13" width="58.140625" customWidth="1"/>
  </cols>
  <sheetData>
    <row r="1" spans="1:108" s="58" customFormat="1" ht="70.5" customHeight="1">
      <c r="A1" s="5" t="s">
        <v>0</v>
      </c>
      <c r="B1" s="7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</row>
    <row r="2" spans="1:108" s="20" customFormat="1" ht="89.25" hidden="1" customHeight="1">
      <c r="A2" s="25" t="s">
        <v>13</v>
      </c>
      <c r="B2" s="28"/>
      <c r="C2" s="20" t="s">
        <v>705</v>
      </c>
      <c r="D2" s="20" t="s">
        <v>706</v>
      </c>
      <c r="E2" s="20">
        <v>2</v>
      </c>
      <c r="F2" s="31" t="s">
        <v>707</v>
      </c>
      <c r="G2" s="60">
        <v>2600</v>
      </c>
      <c r="I2" s="20" t="s">
        <v>17</v>
      </c>
      <c r="J2" s="20">
        <v>2</v>
      </c>
      <c r="K2" s="34">
        <v>45394</v>
      </c>
      <c r="M2" s="20" t="s">
        <v>653</v>
      </c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  <c r="CY2" s="71"/>
      <c r="CZ2" s="71"/>
      <c r="DA2" s="71"/>
      <c r="DB2" s="71"/>
      <c r="DC2" s="71"/>
      <c r="DD2" s="76"/>
    </row>
    <row r="3" spans="1:108" s="20" customFormat="1" ht="89.25" hidden="1" customHeight="1">
      <c r="A3" s="25" t="s">
        <v>13</v>
      </c>
      <c r="B3" s="28"/>
      <c r="C3" s="20" t="s">
        <v>708</v>
      </c>
      <c r="D3" s="20" t="s">
        <v>709</v>
      </c>
      <c r="E3" s="20">
        <v>1</v>
      </c>
      <c r="F3" s="61" t="s">
        <v>678</v>
      </c>
      <c r="G3" s="60">
        <v>1300</v>
      </c>
      <c r="I3" s="20" t="s">
        <v>17</v>
      </c>
      <c r="J3" s="20">
        <v>2</v>
      </c>
      <c r="K3" s="34">
        <v>45393</v>
      </c>
      <c r="M3" s="20" t="s">
        <v>710</v>
      </c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1"/>
      <c r="CZ3" s="71"/>
      <c r="DA3" s="71"/>
      <c r="DB3" s="71"/>
      <c r="DC3" s="71"/>
      <c r="DD3" s="76"/>
    </row>
    <row r="4" spans="1:108" s="20" customFormat="1" ht="115.5" hidden="1" customHeight="1">
      <c r="A4" s="25" t="s">
        <v>13</v>
      </c>
      <c r="C4" s="20" t="s">
        <v>711</v>
      </c>
      <c r="D4" s="20" t="s">
        <v>712</v>
      </c>
      <c r="E4" s="20">
        <v>4</v>
      </c>
      <c r="F4" s="20" t="s">
        <v>279</v>
      </c>
      <c r="G4" s="60">
        <v>3800</v>
      </c>
      <c r="I4" s="20" t="s">
        <v>17</v>
      </c>
      <c r="J4" s="20">
        <v>2</v>
      </c>
      <c r="K4" s="34"/>
      <c r="M4" s="20" t="s">
        <v>710</v>
      </c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71"/>
      <c r="CN4" s="71"/>
      <c r="CO4" s="71"/>
      <c r="CP4" s="71"/>
      <c r="CQ4" s="71"/>
      <c r="CR4" s="71"/>
      <c r="CS4" s="71"/>
      <c r="CT4" s="71"/>
      <c r="CU4" s="71"/>
      <c r="CV4" s="71"/>
      <c r="CW4" s="71"/>
      <c r="CX4" s="71"/>
      <c r="CY4" s="71"/>
      <c r="CZ4" s="71"/>
      <c r="DA4" s="71"/>
      <c r="DB4" s="71"/>
      <c r="DC4" s="71"/>
      <c r="DD4" s="76"/>
    </row>
    <row r="5" spans="1:108" s="20" customFormat="1" ht="115.5" hidden="1" customHeight="1">
      <c r="A5" s="25" t="s">
        <v>13</v>
      </c>
      <c r="C5" s="20" t="s">
        <v>713</v>
      </c>
      <c r="D5" s="20" t="s">
        <v>684</v>
      </c>
      <c r="E5" s="20">
        <v>1</v>
      </c>
      <c r="F5" s="20" t="s">
        <v>237</v>
      </c>
      <c r="G5" s="60">
        <v>1300</v>
      </c>
      <c r="I5" s="20" t="s">
        <v>17</v>
      </c>
      <c r="J5" s="20">
        <v>2</v>
      </c>
      <c r="K5" s="34"/>
      <c r="M5" s="20" t="s">
        <v>714</v>
      </c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6"/>
    </row>
    <row r="6" spans="1:108" s="20" customFormat="1" ht="115.5" hidden="1" customHeight="1">
      <c r="A6" s="25" t="s">
        <v>13</v>
      </c>
      <c r="C6" s="20" t="s">
        <v>715</v>
      </c>
      <c r="D6" s="20" t="s">
        <v>716</v>
      </c>
      <c r="E6" s="20">
        <v>1</v>
      </c>
      <c r="F6" s="20" t="s">
        <v>717</v>
      </c>
      <c r="G6" s="60">
        <v>1300</v>
      </c>
      <c r="I6" s="20" t="s">
        <v>17</v>
      </c>
      <c r="J6" s="20">
        <v>2</v>
      </c>
      <c r="K6" s="34"/>
      <c r="M6" s="20" t="s">
        <v>710</v>
      </c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  <c r="CY6" s="71"/>
      <c r="CZ6" s="71"/>
      <c r="DA6" s="71"/>
      <c r="DB6" s="71"/>
      <c r="DC6" s="71"/>
      <c r="DD6" s="76"/>
    </row>
    <row r="7" spans="1:108" s="20" customFormat="1" ht="115.5" hidden="1" customHeight="1">
      <c r="A7" s="25" t="s">
        <v>13</v>
      </c>
      <c r="C7" s="20" t="s">
        <v>718</v>
      </c>
      <c r="D7" s="20" t="s">
        <v>716</v>
      </c>
      <c r="E7" s="20">
        <v>1</v>
      </c>
      <c r="F7" s="20" t="s">
        <v>245</v>
      </c>
      <c r="G7" s="60">
        <v>1300</v>
      </c>
      <c r="I7" s="20" t="s">
        <v>17</v>
      </c>
      <c r="J7" s="20">
        <v>2</v>
      </c>
      <c r="K7" s="34"/>
      <c r="M7" s="20" t="s">
        <v>710</v>
      </c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1"/>
      <c r="DA7" s="71"/>
      <c r="DB7" s="71"/>
      <c r="DC7" s="71"/>
      <c r="DD7" s="76"/>
    </row>
    <row r="8" spans="1:108" s="19" customFormat="1" ht="108.75" hidden="1" customHeight="1">
      <c r="A8" s="25" t="s">
        <v>13</v>
      </c>
      <c r="B8" s="20"/>
      <c r="C8" s="20" t="s">
        <v>719</v>
      </c>
      <c r="D8" s="20" t="s">
        <v>720</v>
      </c>
      <c r="E8" s="20">
        <v>1</v>
      </c>
      <c r="F8" s="20" t="s">
        <v>483</v>
      </c>
      <c r="G8" s="60">
        <v>1300</v>
      </c>
      <c r="H8" s="20">
        <v>16</v>
      </c>
      <c r="I8" s="20" t="s">
        <v>17</v>
      </c>
      <c r="J8" s="20">
        <v>2</v>
      </c>
      <c r="K8" s="34">
        <v>45134</v>
      </c>
      <c r="L8" s="20"/>
      <c r="M8" s="20" t="s">
        <v>721</v>
      </c>
    </row>
    <row r="9" spans="1:108" s="20" customFormat="1" ht="115.5" hidden="1" customHeight="1">
      <c r="A9" s="25" t="s">
        <v>13</v>
      </c>
      <c r="B9" s="52"/>
      <c r="C9" s="20" t="s">
        <v>722</v>
      </c>
      <c r="D9" s="20" t="s">
        <v>723</v>
      </c>
      <c r="E9" s="20">
        <v>2</v>
      </c>
      <c r="F9" s="20" t="s">
        <v>309</v>
      </c>
      <c r="G9" s="60">
        <v>2600</v>
      </c>
      <c r="I9" s="20" t="s">
        <v>17</v>
      </c>
      <c r="J9" s="20">
        <v>2</v>
      </c>
      <c r="K9" s="34"/>
      <c r="M9" s="20" t="s">
        <v>710</v>
      </c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71"/>
      <c r="DA9" s="71"/>
      <c r="DB9" s="71"/>
      <c r="DC9" s="71"/>
      <c r="DD9" s="76"/>
    </row>
    <row r="10" spans="1:108" s="20" customFormat="1" ht="115.5" hidden="1" customHeight="1">
      <c r="A10" s="25" t="s">
        <v>13</v>
      </c>
      <c r="B10" s="52"/>
      <c r="C10" s="20" t="s">
        <v>724</v>
      </c>
      <c r="D10" s="20" t="s">
        <v>723</v>
      </c>
      <c r="E10" s="20">
        <v>1</v>
      </c>
      <c r="F10" s="20" t="s">
        <v>693</v>
      </c>
      <c r="G10" s="60">
        <v>1300</v>
      </c>
      <c r="I10" s="20" t="s">
        <v>17</v>
      </c>
      <c r="J10" s="20">
        <v>2</v>
      </c>
      <c r="K10" s="34"/>
      <c r="M10" s="20" t="s">
        <v>725</v>
      </c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6"/>
    </row>
    <row r="11" spans="1:108" s="19" customFormat="1" ht="86.25" hidden="1" customHeight="1">
      <c r="A11" s="20" t="s">
        <v>13</v>
      </c>
      <c r="B11" s="20"/>
      <c r="C11" s="20" t="s">
        <v>726</v>
      </c>
      <c r="D11" s="20" t="s">
        <v>727</v>
      </c>
      <c r="E11" s="20">
        <v>1</v>
      </c>
      <c r="F11" s="20" t="s">
        <v>21</v>
      </c>
      <c r="G11" s="60">
        <v>1300</v>
      </c>
      <c r="H11" s="20">
        <v>4</v>
      </c>
      <c r="I11" s="20" t="s">
        <v>17</v>
      </c>
      <c r="J11" s="20">
        <v>2</v>
      </c>
      <c r="K11" s="34"/>
      <c r="L11" s="20"/>
      <c r="M11" s="20" t="s">
        <v>710</v>
      </c>
    </row>
    <row r="12" spans="1:108" s="19" customFormat="1" ht="86.25" hidden="1" customHeight="1">
      <c r="A12" s="20" t="s">
        <v>13</v>
      </c>
      <c r="B12" s="51" t="s">
        <v>181</v>
      </c>
      <c r="C12" s="20" t="s">
        <v>726</v>
      </c>
      <c r="D12" s="20" t="s">
        <v>728</v>
      </c>
      <c r="E12" s="20">
        <v>1</v>
      </c>
      <c r="F12" s="20" t="s">
        <v>21</v>
      </c>
      <c r="G12" s="60">
        <v>1300</v>
      </c>
      <c r="H12" s="20">
        <v>4</v>
      </c>
      <c r="I12" s="20" t="s">
        <v>17</v>
      </c>
      <c r="J12" s="20">
        <v>2</v>
      </c>
      <c r="K12" s="34"/>
      <c r="L12" s="20"/>
      <c r="M12" s="20" t="s">
        <v>710</v>
      </c>
    </row>
    <row r="13" spans="1:108" s="19" customFormat="1" ht="45" hidden="1">
      <c r="A13" s="20" t="s">
        <v>73</v>
      </c>
      <c r="B13" s="20"/>
      <c r="C13" s="20" t="s">
        <v>729</v>
      </c>
      <c r="D13" s="34" t="s">
        <v>730</v>
      </c>
      <c r="E13" s="20">
        <v>1</v>
      </c>
      <c r="F13" s="20" t="s">
        <v>76</v>
      </c>
      <c r="G13" s="60">
        <v>600</v>
      </c>
      <c r="H13" s="20">
        <v>5</v>
      </c>
      <c r="I13" s="20" t="s">
        <v>77</v>
      </c>
      <c r="J13" s="20"/>
      <c r="K13" s="20"/>
      <c r="L13" s="20"/>
      <c r="M13" s="72" t="s">
        <v>731</v>
      </c>
    </row>
    <row r="14" spans="1:108" s="20" customFormat="1" ht="113.25" hidden="1" customHeight="1">
      <c r="A14" s="25" t="s">
        <v>13</v>
      </c>
      <c r="C14" s="20" t="s">
        <v>732</v>
      </c>
      <c r="D14" s="20" t="s">
        <v>733</v>
      </c>
      <c r="E14" s="20">
        <v>1</v>
      </c>
      <c r="F14" s="61" t="s">
        <v>578</v>
      </c>
      <c r="G14" s="60">
        <v>1300</v>
      </c>
      <c r="I14" s="20" t="s">
        <v>17</v>
      </c>
      <c r="J14" s="20">
        <v>2</v>
      </c>
      <c r="K14" s="34">
        <v>44983</v>
      </c>
      <c r="M14" s="20" t="s">
        <v>710</v>
      </c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1"/>
      <c r="DA14" s="71"/>
      <c r="DB14" s="71"/>
      <c r="DC14" s="71"/>
      <c r="DD14" s="76"/>
    </row>
    <row r="15" spans="1:108" s="19" customFormat="1" ht="80.25" hidden="1" customHeight="1">
      <c r="A15" s="25" t="s">
        <v>13</v>
      </c>
      <c r="B15" s="21" t="s">
        <v>110</v>
      </c>
      <c r="C15" s="20" t="s">
        <v>734</v>
      </c>
      <c r="D15" s="20" t="s">
        <v>735</v>
      </c>
      <c r="E15" s="20">
        <v>1</v>
      </c>
      <c r="F15" s="20" t="s">
        <v>113</v>
      </c>
      <c r="G15" s="60">
        <v>1300</v>
      </c>
      <c r="H15" s="20">
        <v>30</v>
      </c>
      <c r="I15" s="20" t="s">
        <v>17</v>
      </c>
      <c r="J15" s="20">
        <v>2</v>
      </c>
      <c r="K15" s="34">
        <v>45064</v>
      </c>
      <c r="L15" s="20"/>
      <c r="M15" s="20" t="s">
        <v>736</v>
      </c>
    </row>
    <row r="16" spans="1:108" s="19" customFormat="1" ht="93.75" hidden="1" customHeight="1">
      <c r="A16" s="25" t="s">
        <v>13</v>
      </c>
      <c r="B16" s="21" t="s">
        <v>114</v>
      </c>
      <c r="C16" s="20" t="s">
        <v>737</v>
      </c>
      <c r="D16" s="20" t="s">
        <v>738</v>
      </c>
      <c r="E16" s="20">
        <v>1</v>
      </c>
      <c r="F16" s="20" t="s">
        <v>117</v>
      </c>
      <c r="G16" s="60">
        <v>1300</v>
      </c>
      <c r="H16" s="20">
        <v>30</v>
      </c>
      <c r="I16" s="20" t="s">
        <v>17</v>
      </c>
      <c r="J16" s="20">
        <v>2</v>
      </c>
      <c r="K16" s="34">
        <v>45040</v>
      </c>
      <c r="L16" s="20"/>
      <c r="M16" s="20" t="s">
        <v>739</v>
      </c>
    </row>
    <row r="17" spans="1:108" s="20" customFormat="1" ht="84.75" hidden="1" customHeight="1">
      <c r="A17" s="25" t="s">
        <v>13</v>
      </c>
      <c r="B17" s="20" t="s">
        <v>583</v>
      </c>
      <c r="C17" s="20" t="s">
        <v>740</v>
      </c>
      <c r="D17" s="20" t="s">
        <v>741</v>
      </c>
      <c r="E17" s="20">
        <v>1</v>
      </c>
      <c r="F17" s="61" t="s">
        <v>586</v>
      </c>
      <c r="G17" s="60">
        <v>1300</v>
      </c>
      <c r="I17" s="20" t="s">
        <v>17</v>
      </c>
      <c r="J17" s="20">
        <v>2</v>
      </c>
      <c r="K17" s="34">
        <v>45357</v>
      </c>
      <c r="M17" s="20" t="s">
        <v>742</v>
      </c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1"/>
      <c r="CU17" s="71"/>
      <c r="CV17" s="71"/>
      <c r="CW17" s="71"/>
      <c r="CX17" s="71"/>
      <c r="CY17" s="71"/>
      <c r="CZ17" s="71"/>
      <c r="DA17" s="71"/>
      <c r="DB17" s="71"/>
      <c r="DC17" s="71"/>
      <c r="DD17" s="76"/>
    </row>
    <row r="18" spans="1:108" s="20" customFormat="1" ht="89.25" hidden="1" customHeight="1">
      <c r="A18" s="25" t="s">
        <v>13</v>
      </c>
      <c r="B18" s="28" t="s">
        <v>679</v>
      </c>
      <c r="C18" s="20" t="s">
        <v>743</v>
      </c>
      <c r="D18" s="20" t="s">
        <v>744</v>
      </c>
      <c r="E18" s="20">
        <v>1</v>
      </c>
      <c r="F18" s="61" t="s">
        <v>615</v>
      </c>
      <c r="G18" s="60">
        <v>950</v>
      </c>
      <c r="I18" s="20" t="s">
        <v>17</v>
      </c>
      <c r="J18" s="20">
        <v>2</v>
      </c>
      <c r="K18" s="34">
        <v>45397</v>
      </c>
      <c r="M18" s="20" t="s">
        <v>22</v>
      </c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71"/>
      <c r="CL18" s="71"/>
      <c r="CM18" s="71"/>
      <c r="CN18" s="71"/>
      <c r="CO18" s="71"/>
      <c r="CP18" s="71"/>
      <c r="CQ18" s="71"/>
      <c r="CR18" s="71"/>
      <c r="CS18" s="71"/>
      <c r="CT18" s="71"/>
      <c r="CU18" s="71"/>
      <c r="CV18" s="71"/>
      <c r="CW18" s="71"/>
      <c r="CX18" s="71"/>
      <c r="CY18" s="71"/>
      <c r="CZ18" s="71"/>
      <c r="DA18" s="71"/>
      <c r="DB18" s="71"/>
      <c r="DC18" s="71"/>
      <c r="DD18" s="76"/>
    </row>
    <row r="19" spans="1:108" s="20" customFormat="1" ht="84.75" hidden="1" customHeight="1">
      <c r="A19" s="25" t="s">
        <v>13</v>
      </c>
      <c r="C19" s="20" t="s">
        <v>745</v>
      </c>
      <c r="D19" s="20" t="s">
        <v>746</v>
      </c>
      <c r="E19" s="20">
        <v>1</v>
      </c>
      <c r="F19" s="62" t="s">
        <v>652</v>
      </c>
      <c r="G19" s="60">
        <v>1300</v>
      </c>
      <c r="I19" s="20" t="s">
        <v>17</v>
      </c>
      <c r="J19" s="20">
        <v>1</v>
      </c>
      <c r="K19" s="34">
        <v>45449</v>
      </c>
      <c r="M19" s="20" t="s">
        <v>653</v>
      </c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1"/>
      <c r="DA19" s="71"/>
      <c r="DB19" s="71"/>
      <c r="DC19" s="71"/>
      <c r="DD19" s="76"/>
    </row>
    <row r="20" spans="1:108" s="20" customFormat="1" ht="84.75" hidden="1" customHeight="1">
      <c r="A20" s="25" t="s">
        <v>13</v>
      </c>
      <c r="C20" s="20" t="s">
        <v>747</v>
      </c>
      <c r="D20" s="20" t="s">
        <v>651</v>
      </c>
      <c r="E20" s="20">
        <v>1</v>
      </c>
      <c r="F20" s="62" t="s">
        <v>748</v>
      </c>
      <c r="G20" s="60">
        <v>1300</v>
      </c>
      <c r="I20" s="20" t="s">
        <v>17</v>
      </c>
      <c r="J20" s="20">
        <v>1</v>
      </c>
      <c r="K20" s="34">
        <v>45433</v>
      </c>
      <c r="M20" s="20" t="s">
        <v>749</v>
      </c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/>
      <c r="CK20" s="71"/>
      <c r="CL20" s="71"/>
      <c r="CM20" s="71"/>
      <c r="CN20" s="71"/>
      <c r="CO20" s="71"/>
      <c r="CP20" s="71"/>
      <c r="CQ20" s="71"/>
      <c r="CR20" s="71"/>
      <c r="CS20" s="71"/>
      <c r="CT20" s="71"/>
      <c r="CU20" s="71"/>
      <c r="CV20" s="71"/>
      <c r="CW20" s="71"/>
      <c r="CX20" s="71"/>
      <c r="CY20" s="71"/>
      <c r="CZ20" s="71"/>
      <c r="DA20" s="71"/>
      <c r="DB20" s="71"/>
      <c r="DC20" s="71"/>
      <c r="DD20" s="76"/>
    </row>
    <row r="21" spans="1:108" s="20" customFormat="1" ht="84.75" customHeight="1">
      <c r="A21" s="25" t="s">
        <v>13</v>
      </c>
      <c r="B21" s="51" t="s">
        <v>658</v>
      </c>
      <c r="C21" s="20" t="s">
        <v>750</v>
      </c>
      <c r="D21" s="20" t="s">
        <v>741</v>
      </c>
      <c r="E21" s="20">
        <v>1</v>
      </c>
      <c r="F21" s="61" t="s">
        <v>751</v>
      </c>
      <c r="G21" s="60">
        <v>800</v>
      </c>
      <c r="I21" s="20" t="s">
        <v>17</v>
      </c>
      <c r="J21" s="20">
        <v>1</v>
      </c>
      <c r="K21" s="34">
        <v>45433</v>
      </c>
      <c r="M21" s="20" t="s">
        <v>710</v>
      </c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/>
      <c r="CK21" s="71"/>
      <c r="CL21" s="71"/>
      <c r="CM21" s="71"/>
      <c r="CN21" s="71"/>
      <c r="CO21" s="71"/>
      <c r="CP21" s="71"/>
      <c r="CQ21" s="71"/>
      <c r="CR21" s="71"/>
      <c r="CS21" s="71"/>
      <c r="CT21" s="71"/>
      <c r="CU21" s="71"/>
      <c r="CV21" s="71"/>
      <c r="CW21" s="71"/>
      <c r="CX21" s="71"/>
      <c r="CY21" s="71"/>
      <c r="CZ21" s="71"/>
      <c r="DA21" s="71"/>
      <c r="DB21" s="71"/>
      <c r="DC21" s="71"/>
      <c r="DD21" s="76"/>
    </row>
    <row r="22" spans="1:108" s="20" customFormat="1" ht="84.75" hidden="1" customHeight="1">
      <c r="A22" s="25" t="s">
        <v>13</v>
      </c>
      <c r="B22" s="20" t="s">
        <v>662</v>
      </c>
      <c r="C22" s="20" t="s">
        <v>752</v>
      </c>
      <c r="D22" s="20" t="s">
        <v>753</v>
      </c>
      <c r="E22" s="20">
        <v>1</v>
      </c>
      <c r="F22" s="61" t="s">
        <v>665</v>
      </c>
      <c r="G22" s="60">
        <v>950</v>
      </c>
      <c r="I22" s="20" t="s">
        <v>17</v>
      </c>
      <c r="J22" s="20">
        <v>2</v>
      </c>
      <c r="K22" s="34">
        <v>45434</v>
      </c>
      <c r="M22" s="20" t="s">
        <v>710</v>
      </c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1"/>
      <c r="CK22" s="71"/>
      <c r="CL22" s="71"/>
      <c r="CM22" s="71"/>
      <c r="CN22" s="71"/>
      <c r="CO22" s="71"/>
      <c r="CP22" s="71"/>
      <c r="CQ22" s="71"/>
      <c r="CR22" s="71"/>
      <c r="CS22" s="71"/>
      <c r="CT22" s="71"/>
      <c r="CU22" s="71"/>
      <c r="CV22" s="71"/>
      <c r="CW22" s="71"/>
      <c r="CX22" s="71"/>
      <c r="CY22" s="71"/>
      <c r="CZ22" s="71"/>
      <c r="DA22" s="71"/>
      <c r="DB22" s="71"/>
      <c r="DC22" s="71"/>
      <c r="DD22" s="76"/>
    </row>
    <row r="23" spans="1:108" s="20" customFormat="1" ht="84.75" hidden="1" customHeight="1">
      <c r="A23" s="25" t="s">
        <v>13</v>
      </c>
      <c r="B23" s="51" t="s">
        <v>754</v>
      </c>
      <c r="C23" s="20" t="s">
        <v>755</v>
      </c>
      <c r="D23" s="20" t="s">
        <v>651</v>
      </c>
      <c r="E23" s="20">
        <v>1</v>
      </c>
      <c r="F23" s="61" t="s">
        <v>667</v>
      </c>
      <c r="G23" s="60">
        <v>950</v>
      </c>
      <c r="I23" s="20" t="s">
        <v>17</v>
      </c>
      <c r="J23" s="20">
        <v>2</v>
      </c>
      <c r="K23" s="34">
        <v>45391</v>
      </c>
      <c r="M23" s="20" t="s">
        <v>710</v>
      </c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71"/>
      <c r="CL23" s="71"/>
      <c r="CM23" s="71"/>
      <c r="CN23" s="71"/>
      <c r="CO23" s="71"/>
      <c r="CP23" s="71"/>
      <c r="CQ23" s="71"/>
      <c r="CR23" s="71"/>
      <c r="CS23" s="71"/>
      <c r="CT23" s="71"/>
      <c r="CU23" s="71"/>
      <c r="CV23" s="71"/>
      <c r="CW23" s="71"/>
      <c r="CX23" s="71"/>
      <c r="CY23" s="71"/>
      <c r="CZ23" s="71"/>
      <c r="DA23" s="71"/>
      <c r="DB23" s="71"/>
      <c r="DC23" s="71"/>
      <c r="DD23" s="76"/>
    </row>
    <row r="24" spans="1:108" s="20" customFormat="1" ht="84.75" hidden="1" customHeight="1">
      <c r="A24" s="25" t="s">
        <v>13</v>
      </c>
      <c r="B24" s="51" t="s">
        <v>756</v>
      </c>
      <c r="C24" s="20" t="s">
        <v>757</v>
      </c>
      <c r="D24" s="20" t="s">
        <v>651</v>
      </c>
      <c r="E24" s="20">
        <v>1</v>
      </c>
      <c r="F24" s="61" t="s">
        <v>758</v>
      </c>
      <c r="G24" s="60">
        <v>950</v>
      </c>
      <c r="I24" s="20" t="s">
        <v>17</v>
      </c>
      <c r="J24" s="20">
        <v>2</v>
      </c>
      <c r="K24" s="34">
        <v>45391</v>
      </c>
      <c r="M24" s="20" t="s">
        <v>710</v>
      </c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1"/>
      <c r="CA24" s="71"/>
      <c r="CB24" s="71"/>
      <c r="CC24" s="71"/>
      <c r="CD24" s="71"/>
      <c r="CE24" s="71"/>
      <c r="CF24" s="71"/>
      <c r="CG24" s="71"/>
      <c r="CH24" s="71"/>
      <c r="CI24" s="71"/>
      <c r="CJ24" s="71"/>
      <c r="CK24" s="71"/>
      <c r="CL24" s="71"/>
      <c r="CM24" s="71"/>
      <c r="CN24" s="71"/>
      <c r="CO24" s="71"/>
      <c r="CP24" s="71"/>
      <c r="CQ24" s="71"/>
      <c r="CR24" s="71"/>
      <c r="CS24" s="71"/>
      <c r="CT24" s="71"/>
      <c r="CU24" s="71"/>
      <c r="CV24" s="71"/>
      <c r="CW24" s="71"/>
      <c r="CX24" s="71"/>
      <c r="CY24" s="71"/>
      <c r="CZ24" s="71"/>
      <c r="DA24" s="71"/>
      <c r="DB24" s="71"/>
      <c r="DC24" s="71"/>
      <c r="DD24" s="76"/>
    </row>
    <row r="25" spans="1:108" s="20" customFormat="1" ht="84.75" hidden="1" customHeight="1">
      <c r="A25" s="25" t="s">
        <v>13</v>
      </c>
      <c r="C25" s="20" t="s">
        <v>759</v>
      </c>
      <c r="D25" s="20" t="s">
        <v>651</v>
      </c>
      <c r="E25" s="20">
        <v>1</v>
      </c>
      <c r="F25" s="61" t="s">
        <v>760</v>
      </c>
      <c r="G25" s="60">
        <v>950</v>
      </c>
      <c r="I25" s="20" t="s">
        <v>17</v>
      </c>
      <c r="J25" s="20">
        <v>2</v>
      </c>
      <c r="K25" s="34">
        <v>45391</v>
      </c>
      <c r="M25" s="20" t="s">
        <v>725</v>
      </c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1"/>
      <c r="CF25" s="71"/>
      <c r="CG25" s="71"/>
      <c r="CH25" s="71"/>
      <c r="CI25" s="71"/>
      <c r="CJ25" s="71"/>
      <c r="CK25" s="71"/>
      <c r="CL25" s="71"/>
      <c r="CM25" s="71"/>
      <c r="CN25" s="71"/>
      <c r="CO25" s="71"/>
      <c r="CP25" s="71"/>
      <c r="CQ25" s="71"/>
      <c r="CR25" s="71"/>
      <c r="CS25" s="71"/>
      <c r="CT25" s="71"/>
      <c r="CU25" s="71"/>
      <c r="CV25" s="71"/>
      <c r="CW25" s="71"/>
      <c r="CX25" s="71"/>
      <c r="CY25" s="71"/>
      <c r="CZ25" s="71"/>
      <c r="DA25" s="71"/>
      <c r="DB25" s="71"/>
      <c r="DC25" s="71"/>
      <c r="DD25" s="76"/>
    </row>
    <row r="26" spans="1:108" s="20" customFormat="1" ht="84.75" hidden="1" customHeight="1">
      <c r="A26" s="25" t="s">
        <v>13</v>
      </c>
      <c r="B26" s="20" t="s">
        <v>761</v>
      </c>
      <c r="C26" s="20" t="s">
        <v>762</v>
      </c>
      <c r="D26" s="20" t="s">
        <v>763</v>
      </c>
      <c r="E26" s="20">
        <v>1</v>
      </c>
      <c r="F26" s="62" t="s">
        <v>764</v>
      </c>
      <c r="G26" s="60">
        <v>1300</v>
      </c>
      <c r="I26" s="20" t="s">
        <v>17</v>
      </c>
      <c r="J26" s="20">
        <v>1</v>
      </c>
      <c r="K26" s="34">
        <v>45449</v>
      </c>
      <c r="M26" s="20" t="s">
        <v>653</v>
      </c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71"/>
      <c r="CF26" s="71"/>
      <c r="CG26" s="71"/>
      <c r="CH26" s="71"/>
      <c r="CI26" s="71"/>
      <c r="CJ26" s="71"/>
      <c r="CK26" s="71"/>
      <c r="CL26" s="71"/>
      <c r="CM26" s="71"/>
      <c r="CN26" s="71"/>
      <c r="CO26" s="71"/>
      <c r="CP26" s="71"/>
      <c r="CQ26" s="71"/>
      <c r="CR26" s="71"/>
      <c r="CS26" s="71"/>
      <c r="CT26" s="71"/>
      <c r="CU26" s="71"/>
      <c r="CV26" s="71"/>
      <c r="CW26" s="71"/>
      <c r="CX26" s="71"/>
      <c r="CY26" s="71"/>
      <c r="CZ26" s="71"/>
      <c r="DA26" s="71"/>
      <c r="DB26" s="71"/>
      <c r="DC26" s="71"/>
      <c r="DD26" s="76"/>
    </row>
    <row r="27" spans="1:108" s="20" customFormat="1" ht="84.75" hidden="1" customHeight="1">
      <c r="A27" s="25" t="s">
        <v>13</v>
      </c>
      <c r="B27" s="51" t="s">
        <v>583</v>
      </c>
      <c r="C27" s="20" t="s">
        <v>765</v>
      </c>
      <c r="D27" s="20" t="s">
        <v>766</v>
      </c>
      <c r="E27" s="20">
        <v>1</v>
      </c>
      <c r="F27" s="62" t="s">
        <v>767</v>
      </c>
      <c r="G27" s="60">
        <v>1300</v>
      </c>
      <c r="I27" s="20" t="s">
        <v>17</v>
      </c>
      <c r="J27" s="20">
        <v>1</v>
      </c>
      <c r="K27" s="34">
        <v>45449</v>
      </c>
      <c r="M27" s="20" t="s">
        <v>653</v>
      </c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1"/>
      <c r="CF27" s="71"/>
      <c r="CG27" s="71"/>
      <c r="CH27" s="71"/>
      <c r="CI27" s="71"/>
      <c r="CJ27" s="71"/>
      <c r="CK27" s="71"/>
      <c r="CL27" s="71"/>
      <c r="CM27" s="71"/>
      <c r="CN27" s="71"/>
      <c r="CO27" s="71"/>
      <c r="CP27" s="71"/>
      <c r="CQ27" s="71"/>
      <c r="CR27" s="71"/>
      <c r="CS27" s="71"/>
      <c r="CT27" s="71"/>
      <c r="CU27" s="71"/>
      <c r="CV27" s="71"/>
      <c r="CW27" s="71"/>
      <c r="CX27" s="71"/>
      <c r="CY27" s="71"/>
      <c r="CZ27" s="71"/>
      <c r="DA27" s="71"/>
      <c r="DB27" s="71"/>
      <c r="DC27" s="71"/>
      <c r="DD27" s="76"/>
    </row>
    <row r="28" spans="1:108" s="20" customFormat="1" ht="84.75" hidden="1" customHeight="1">
      <c r="A28" s="25" t="s">
        <v>13</v>
      </c>
      <c r="B28" s="51" t="s">
        <v>583</v>
      </c>
      <c r="C28" s="20" t="s">
        <v>768</v>
      </c>
      <c r="D28" s="20" t="s">
        <v>769</v>
      </c>
      <c r="E28" s="20">
        <v>1</v>
      </c>
      <c r="F28" s="62" t="s">
        <v>770</v>
      </c>
      <c r="G28" s="60">
        <v>1300</v>
      </c>
      <c r="I28" s="20" t="s">
        <v>17</v>
      </c>
      <c r="J28" s="20">
        <v>1</v>
      </c>
      <c r="K28" s="34">
        <v>45484</v>
      </c>
      <c r="M28" s="20" t="s">
        <v>653</v>
      </c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1"/>
      <c r="CF28" s="71"/>
      <c r="CG28" s="71"/>
      <c r="CH28" s="71"/>
      <c r="CI28" s="71"/>
      <c r="CJ28" s="71"/>
      <c r="CK28" s="71"/>
      <c r="CL28" s="71"/>
      <c r="CM28" s="71"/>
      <c r="CN28" s="71"/>
      <c r="CO28" s="71"/>
      <c r="CP28" s="71"/>
      <c r="CQ28" s="71"/>
      <c r="CR28" s="71"/>
      <c r="CS28" s="71"/>
      <c r="CT28" s="71"/>
      <c r="CU28" s="71"/>
      <c r="CV28" s="71"/>
      <c r="CW28" s="71"/>
      <c r="CX28" s="71"/>
      <c r="CY28" s="71"/>
      <c r="CZ28" s="71"/>
      <c r="DA28" s="71"/>
      <c r="DB28" s="71"/>
      <c r="DC28" s="71"/>
      <c r="DD28" s="76"/>
    </row>
    <row r="29" spans="1:108" s="20" customFormat="1" ht="84.75" hidden="1" customHeight="1">
      <c r="A29" s="25" t="s">
        <v>13</v>
      </c>
      <c r="B29" s="51" t="s">
        <v>771</v>
      </c>
      <c r="C29" s="20" t="s">
        <v>772</v>
      </c>
      <c r="D29" s="20" t="s">
        <v>773</v>
      </c>
      <c r="E29" s="20">
        <v>1</v>
      </c>
      <c r="F29" s="62" t="s">
        <v>774</v>
      </c>
      <c r="G29" s="60">
        <v>980</v>
      </c>
      <c r="I29" s="20" t="s">
        <v>17</v>
      </c>
      <c r="J29" s="20">
        <v>1</v>
      </c>
      <c r="K29" s="34">
        <v>45485</v>
      </c>
      <c r="M29" s="20" t="s">
        <v>653</v>
      </c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1"/>
      <c r="CF29" s="71"/>
      <c r="CG29" s="71"/>
      <c r="CH29" s="71"/>
      <c r="CI29" s="71"/>
      <c r="CJ29" s="71"/>
      <c r="CK29" s="71"/>
      <c r="CL29" s="71"/>
      <c r="CM29" s="71"/>
      <c r="CN29" s="71"/>
      <c r="CO29" s="71"/>
      <c r="CP29" s="71"/>
      <c r="CQ29" s="71"/>
      <c r="CR29" s="71"/>
      <c r="CS29" s="71"/>
      <c r="CT29" s="71"/>
      <c r="CU29" s="71"/>
      <c r="CV29" s="71"/>
      <c r="CW29" s="71"/>
      <c r="CX29" s="71"/>
      <c r="CY29" s="71"/>
      <c r="CZ29" s="71"/>
      <c r="DA29" s="71"/>
      <c r="DB29" s="71"/>
      <c r="DC29" s="71"/>
      <c r="DD29" s="76"/>
    </row>
    <row r="30" spans="1:108" ht="42" hidden="1" customHeight="1">
      <c r="A30" s="67"/>
      <c r="B30" s="67"/>
      <c r="C30" s="67"/>
      <c r="D30" s="67"/>
      <c r="E30" s="68">
        <f>SUM(E2:E29)</f>
        <v>33</v>
      </c>
      <c r="F30" s="67"/>
      <c r="G30" s="69">
        <f>SUM(G2:G29)</f>
        <v>38230</v>
      </c>
      <c r="H30" s="67"/>
      <c r="I30" s="67"/>
      <c r="J30" s="67"/>
      <c r="K30" s="67"/>
      <c r="L30" s="67"/>
      <c r="M30" s="67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10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108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</sheetData>
  <autoFilter ref="A1:DD30" xr:uid="{00000000-0009-0000-0000-000010000000}">
    <filterColumn colId="5">
      <filters>
        <filter val="RUA SÃO LUCAS, 779, B: AGUA BRANCA, CONTAGEM, OBRA DO HELMUT."/>
      </filters>
    </filterColumn>
  </autoFilter>
  <hyperlinks>
    <hyperlink ref="M13" r:id="rId1" xr:uid="{00000000-0004-0000-1000-000000000000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18" filterMode="1"/>
  <dimension ref="A1:DD34"/>
  <sheetViews>
    <sheetView workbookViewId="0">
      <selection activeCell="C20" sqref="C20"/>
    </sheetView>
  </sheetViews>
  <sheetFormatPr defaultColWidth="9" defaultRowHeight="15"/>
  <cols>
    <col min="1" max="1" width="21.28515625" customWidth="1"/>
    <col min="2" max="2" width="17.140625" customWidth="1"/>
    <col min="3" max="4" width="14.5703125" customWidth="1"/>
    <col min="5" max="5" width="10.85546875" customWidth="1"/>
    <col min="6" max="6" width="24.42578125" customWidth="1"/>
    <col min="7" max="7" width="12.28515625" customWidth="1"/>
    <col min="9" max="9" width="15.140625" customWidth="1"/>
    <col min="10" max="10" width="12.85546875" customWidth="1"/>
    <col min="11" max="11" width="10.85546875" customWidth="1"/>
    <col min="13" max="13" width="58.140625" customWidth="1"/>
  </cols>
  <sheetData>
    <row r="1" spans="1:108" s="58" customFormat="1" ht="70.5" customHeight="1">
      <c r="A1" s="5" t="s">
        <v>0</v>
      </c>
      <c r="B1" s="7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</row>
    <row r="2" spans="1:108" s="20" customFormat="1" ht="89.25" hidden="1" customHeight="1">
      <c r="A2" s="25" t="s">
        <v>13</v>
      </c>
      <c r="B2" s="28"/>
      <c r="C2" s="20" t="s">
        <v>775</v>
      </c>
      <c r="D2" s="20" t="s">
        <v>773</v>
      </c>
      <c r="E2" s="20">
        <v>2</v>
      </c>
      <c r="F2" s="31" t="s">
        <v>776</v>
      </c>
      <c r="G2" s="60">
        <v>2600</v>
      </c>
      <c r="I2" s="20" t="s">
        <v>17</v>
      </c>
      <c r="J2" s="20">
        <v>2</v>
      </c>
      <c r="K2" s="34">
        <v>45394</v>
      </c>
      <c r="M2" s="20" t="s">
        <v>653</v>
      </c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  <c r="CY2" s="71"/>
      <c r="CZ2" s="71"/>
      <c r="DA2" s="71"/>
      <c r="DB2" s="71"/>
      <c r="DC2" s="71"/>
      <c r="DD2" s="76"/>
    </row>
    <row r="3" spans="1:108" s="20" customFormat="1" ht="89.25" hidden="1" customHeight="1">
      <c r="A3" s="25" t="s">
        <v>13</v>
      </c>
      <c r="B3" s="28"/>
      <c r="C3" s="20" t="s">
        <v>777</v>
      </c>
      <c r="D3" s="20" t="s">
        <v>769</v>
      </c>
      <c r="E3" s="20">
        <v>1</v>
      </c>
      <c r="F3" s="61" t="s">
        <v>778</v>
      </c>
      <c r="G3" s="60">
        <v>1300</v>
      </c>
      <c r="I3" s="20" t="s">
        <v>17</v>
      </c>
      <c r="J3" s="20">
        <v>2</v>
      </c>
      <c r="K3" s="34">
        <v>45393</v>
      </c>
      <c r="M3" s="20" t="s">
        <v>710</v>
      </c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1"/>
      <c r="CZ3" s="71"/>
      <c r="DA3" s="71"/>
      <c r="DB3" s="71"/>
      <c r="DC3" s="71"/>
      <c r="DD3" s="76"/>
    </row>
    <row r="4" spans="1:108" s="20" customFormat="1" ht="115.5" hidden="1" customHeight="1">
      <c r="A4" s="25" t="s">
        <v>13</v>
      </c>
      <c r="B4" s="78" t="s">
        <v>779</v>
      </c>
      <c r="C4" s="20" t="s">
        <v>780</v>
      </c>
      <c r="D4" s="20" t="s">
        <v>781</v>
      </c>
      <c r="E4" s="20">
        <v>4</v>
      </c>
      <c r="F4" s="20" t="s">
        <v>279</v>
      </c>
      <c r="G4" s="60">
        <v>3800</v>
      </c>
      <c r="I4" s="20" t="s">
        <v>17</v>
      </c>
      <c r="J4" s="20">
        <v>2</v>
      </c>
      <c r="K4" s="34"/>
      <c r="M4" s="20" t="s">
        <v>710</v>
      </c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71"/>
      <c r="CN4" s="71"/>
      <c r="CO4" s="71"/>
      <c r="CP4" s="71"/>
      <c r="CQ4" s="71"/>
      <c r="CR4" s="71"/>
      <c r="CS4" s="71"/>
      <c r="CT4" s="71"/>
      <c r="CU4" s="71"/>
      <c r="CV4" s="71"/>
      <c r="CW4" s="71"/>
      <c r="CX4" s="71"/>
      <c r="CY4" s="71"/>
      <c r="CZ4" s="71"/>
      <c r="DA4" s="71"/>
      <c r="DB4" s="71"/>
      <c r="DC4" s="71"/>
      <c r="DD4" s="76"/>
    </row>
    <row r="5" spans="1:108" s="20" customFormat="1" ht="115.5" hidden="1" customHeight="1">
      <c r="A5" s="25" t="s">
        <v>13</v>
      </c>
      <c r="C5" s="20" t="s">
        <v>782</v>
      </c>
      <c r="D5" s="20" t="s">
        <v>783</v>
      </c>
      <c r="E5" s="20">
        <v>1</v>
      </c>
      <c r="F5" s="20" t="s">
        <v>237</v>
      </c>
      <c r="G5" s="60">
        <v>1300</v>
      </c>
      <c r="I5" s="20" t="s">
        <v>17</v>
      </c>
      <c r="J5" s="20">
        <v>2</v>
      </c>
      <c r="K5" s="34"/>
      <c r="M5" s="20" t="s">
        <v>714</v>
      </c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6"/>
    </row>
    <row r="6" spans="1:108" s="20" customFormat="1" ht="115.5" hidden="1" customHeight="1">
      <c r="A6" s="25" t="s">
        <v>13</v>
      </c>
      <c r="B6" s="78" t="s">
        <v>784</v>
      </c>
      <c r="C6" s="20" t="s">
        <v>785</v>
      </c>
      <c r="D6" s="20" t="s">
        <v>786</v>
      </c>
      <c r="E6" s="20">
        <v>1</v>
      </c>
      <c r="F6" s="20" t="s">
        <v>717</v>
      </c>
      <c r="G6" s="60">
        <v>1300</v>
      </c>
      <c r="I6" s="20" t="s">
        <v>17</v>
      </c>
      <c r="J6" s="20">
        <v>2</v>
      </c>
      <c r="K6" s="34"/>
      <c r="M6" s="20" t="s">
        <v>710</v>
      </c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  <c r="CY6" s="71"/>
      <c r="CZ6" s="71"/>
      <c r="DA6" s="71"/>
      <c r="DB6" s="71"/>
      <c r="DC6" s="71"/>
      <c r="DD6" s="76"/>
    </row>
    <row r="7" spans="1:108" s="20" customFormat="1" ht="115.5" hidden="1" customHeight="1">
      <c r="A7" s="25" t="s">
        <v>13</v>
      </c>
      <c r="B7" s="78" t="s">
        <v>784</v>
      </c>
      <c r="C7" s="20" t="s">
        <v>787</v>
      </c>
      <c r="D7" s="20" t="s">
        <v>786</v>
      </c>
      <c r="E7" s="20">
        <v>1</v>
      </c>
      <c r="F7" s="20" t="s">
        <v>245</v>
      </c>
      <c r="G7" s="60">
        <v>1300</v>
      </c>
      <c r="I7" s="20" t="s">
        <v>17</v>
      </c>
      <c r="J7" s="20">
        <v>2</v>
      </c>
      <c r="K7" s="34"/>
      <c r="M7" s="20" t="s">
        <v>710</v>
      </c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1"/>
      <c r="DA7" s="71"/>
      <c r="DB7" s="71"/>
      <c r="DC7" s="71"/>
      <c r="DD7" s="76"/>
    </row>
    <row r="8" spans="1:108" s="19" customFormat="1" ht="108.75" hidden="1" customHeight="1">
      <c r="A8" s="25" t="s">
        <v>13</v>
      </c>
      <c r="B8" s="20"/>
      <c r="C8" s="20" t="s">
        <v>788</v>
      </c>
      <c r="D8" s="20" t="s">
        <v>789</v>
      </c>
      <c r="E8" s="20">
        <v>1</v>
      </c>
      <c r="F8" s="20" t="s">
        <v>483</v>
      </c>
      <c r="G8" s="60">
        <v>1300</v>
      </c>
      <c r="H8" s="20">
        <v>16</v>
      </c>
      <c r="I8" s="20" t="s">
        <v>17</v>
      </c>
      <c r="J8" s="20">
        <v>2</v>
      </c>
      <c r="K8" s="34">
        <v>45134</v>
      </c>
      <c r="L8" s="20"/>
      <c r="M8" s="20" t="s">
        <v>721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108" s="20" customFormat="1" ht="115.5" hidden="1" customHeight="1">
      <c r="A9" s="25" t="s">
        <v>13</v>
      </c>
      <c r="B9" s="52"/>
      <c r="C9" s="20" t="s">
        <v>790</v>
      </c>
      <c r="D9" s="20" t="s">
        <v>791</v>
      </c>
      <c r="E9" s="20">
        <v>2</v>
      </c>
      <c r="F9" s="20" t="s">
        <v>309</v>
      </c>
      <c r="G9" s="60">
        <v>2600</v>
      </c>
      <c r="I9" s="20" t="s">
        <v>17</v>
      </c>
      <c r="J9" s="20">
        <v>2</v>
      </c>
      <c r="K9" s="34"/>
      <c r="M9" s="20" t="s">
        <v>710</v>
      </c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71"/>
      <c r="DA9" s="71"/>
      <c r="DB9" s="71"/>
      <c r="DC9" s="71"/>
      <c r="DD9" s="76"/>
    </row>
    <row r="10" spans="1:108" s="20" customFormat="1" ht="115.5" hidden="1" customHeight="1">
      <c r="A10" s="25" t="s">
        <v>13</v>
      </c>
      <c r="B10" s="52"/>
      <c r="C10" s="20" t="s">
        <v>792</v>
      </c>
      <c r="D10" s="20" t="s">
        <v>791</v>
      </c>
      <c r="E10" s="20">
        <v>1</v>
      </c>
      <c r="F10" s="20" t="s">
        <v>793</v>
      </c>
      <c r="G10" s="60">
        <v>1300</v>
      </c>
      <c r="I10" s="20" t="s">
        <v>17</v>
      </c>
      <c r="J10" s="20">
        <v>2</v>
      </c>
      <c r="K10" s="34"/>
      <c r="M10" s="20" t="s">
        <v>725</v>
      </c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6"/>
    </row>
    <row r="11" spans="1:108" s="19" customFormat="1" ht="86.25" hidden="1" customHeight="1">
      <c r="A11" s="20" t="s">
        <v>13</v>
      </c>
      <c r="B11" s="20"/>
      <c r="C11" s="20" t="s">
        <v>794</v>
      </c>
      <c r="D11" s="20" t="s">
        <v>795</v>
      </c>
      <c r="E11" s="20">
        <v>1</v>
      </c>
      <c r="F11" s="20" t="s">
        <v>21</v>
      </c>
      <c r="G11" s="60">
        <v>1300</v>
      </c>
      <c r="H11" s="20">
        <v>4</v>
      </c>
      <c r="I11" s="20" t="s">
        <v>17</v>
      </c>
      <c r="J11" s="20">
        <v>2</v>
      </c>
      <c r="K11" s="34"/>
      <c r="L11" s="20"/>
      <c r="M11" s="20" t="s">
        <v>710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108" s="19" customFormat="1" ht="86.25" hidden="1" customHeight="1">
      <c r="A12" s="20" t="s">
        <v>13</v>
      </c>
      <c r="B12" s="54" t="s">
        <v>181</v>
      </c>
      <c r="C12" s="20" t="s">
        <v>794</v>
      </c>
      <c r="D12" s="20" t="s">
        <v>796</v>
      </c>
      <c r="E12" s="20">
        <v>1</v>
      </c>
      <c r="F12" s="20" t="s">
        <v>21</v>
      </c>
      <c r="G12" s="60">
        <v>1300</v>
      </c>
      <c r="H12" s="20">
        <v>4</v>
      </c>
      <c r="I12" s="20" t="s">
        <v>17</v>
      </c>
      <c r="J12" s="20">
        <v>2</v>
      </c>
      <c r="K12" s="34"/>
      <c r="L12" s="20"/>
      <c r="M12" s="20" t="s">
        <v>710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108" s="19" customFormat="1" ht="63" hidden="1" customHeight="1">
      <c r="A13" s="20" t="s">
        <v>73</v>
      </c>
      <c r="B13" s="20"/>
      <c r="C13" s="20" t="s">
        <v>797</v>
      </c>
      <c r="D13" s="34" t="s">
        <v>798</v>
      </c>
      <c r="E13" s="20">
        <v>1</v>
      </c>
      <c r="F13" s="20" t="s">
        <v>76</v>
      </c>
      <c r="G13" s="60">
        <v>600</v>
      </c>
      <c r="H13" s="20">
        <v>5</v>
      </c>
      <c r="I13" s="20" t="s">
        <v>77</v>
      </c>
      <c r="J13" s="20"/>
      <c r="K13" s="20"/>
      <c r="L13" s="20"/>
      <c r="M13" s="72" t="s">
        <v>731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108" s="20" customFormat="1" ht="113.25" hidden="1" customHeight="1">
      <c r="A14" s="25" t="s">
        <v>13</v>
      </c>
      <c r="C14" s="20" t="s">
        <v>799</v>
      </c>
      <c r="D14" s="20" t="s">
        <v>800</v>
      </c>
      <c r="E14" s="20">
        <v>1</v>
      </c>
      <c r="F14" s="27" t="s">
        <v>578</v>
      </c>
      <c r="G14" s="60">
        <v>1300</v>
      </c>
      <c r="I14" s="20" t="s">
        <v>17</v>
      </c>
      <c r="J14" s="20">
        <v>2</v>
      </c>
      <c r="K14" s="34">
        <v>44983</v>
      </c>
      <c r="M14" s="20" t="s">
        <v>710</v>
      </c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1"/>
      <c r="DA14" s="71"/>
      <c r="DB14" s="71"/>
      <c r="DC14" s="71"/>
      <c r="DD14" s="76"/>
    </row>
    <row r="15" spans="1:108" s="19" customFormat="1" ht="80.25" hidden="1" customHeight="1">
      <c r="A15" s="25" t="s">
        <v>13</v>
      </c>
      <c r="B15" s="21" t="s">
        <v>110</v>
      </c>
      <c r="C15" s="20" t="s">
        <v>801</v>
      </c>
      <c r="D15" s="20" t="s">
        <v>802</v>
      </c>
      <c r="E15" s="20">
        <v>1</v>
      </c>
      <c r="F15" s="20" t="s">
        <v>113</v>
      </c>
      <c r="G15" s="60">
        <v>1300</v>
      </c>
      <c r="H15" s="20">
        <v>30</v>
      </c>
      <c r="I15" s="20" t="s">
        <v>17</v>
      </c>
      <c r="J15" s="20">
        <v>2</v>
      </c>
      <c r="K15" s="34">
        <v>45064</v>
      </c>
      <c r="L15" s="20"/>
      <c r="M15" s="20" t="s">
        <v>736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108" s="19" customFormat="1" ht="93.75" hidden="1" customHeight="1">
      <c r="A16" s="25" t="s">
        <v>13</v>
      </c>
      <c r="B16" s="21" t="s">
        <v>114</v>
      </c>
      <c r="C16" s="20" t="s">
        <v>803</v>
      </c>
      <c r="D16" s="20" t="s">
        <v>804</v>
      </c>
      <c r="E16" s="20">
        <v>1</v>
      </c>
      <c r="F16" s="20" t="s">
        <v>117</v>
      </c>
      <c r="G16" s="60">
        <v>1300</v>
      </c>
      <c r="H16" s="20">
        <v>30</v>
      </c>
      <c r="I16" s="20" t="s">
        <v>17</v>
      </c>
      <c r="J16" s="20">
        <v>2</v>
      </c>
      <c r="K16" s="34">
        <v>45040</v>
      </c>
      <c r="L16" s="20"/>
      <c r="M16" s="20" t="s">
        <v>739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108" s="20" customFormat="1" ht="84.75" hidden="1" customHeight="1">
      <c r="A17" s="25" t="s">
        <v>13</v>
      </c>
      <c r="B17" s="54" t="s">
        <v>805</v>
      </c>
      <c r="C17" s="20" t="s">
        <v>806</v>
      </c>
      <c r="D17" s="20" t="s">
        <v>807</v>
      </c>
      <c r="E17" s="20">
        <v>1</v>
      </c>
      <c r="F17" s="61" t="s">
        <v>586</v>
      </c>
      <c r="G17" s="60">
        <v>1300</v>
      </c>
      <c r="I17" s="20" t="s">
        <v>17</v>
      </c>
      <c r="J17" s="20">
        <v>2</v>
      </c>
      <c r="K17" s="34">
        <v>45357</v>
      </c>
      <c r="M17" s="20" t="s">
        <v>742</v>
      </c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1"/>
      <c r="CU17" s="71"/>
      <c r="CV17" s="71"/>
      <c r="CW17" s="71"/>
      <c r="CX17" s="71"/>
      <c r="CY17" s="71"/>
      <c r="CZ17" s="71"/>
      <c r="DA17" s="71"/>
      <c r="DB17" s="71"/>
      <c r="DC17" s="71"/>
      <c r="DD17" s="76"/>
    </row>
    <row r="18" spans="1:108" s="20" customFormat="1" ht="84.75" hidden="1" customHeight="1">
      <c r="A18" s="25" t="s">
        <v>13</v>
      </c>
      <c r="C18" s="20" t="s">
        <v>808</v>
      </c>
      <c r="D18" s="20" t="s">
        <v>809</v>
      </c>
      <c r="E18" s="20">
        <v>1</v>
      </c>
      <c r="F18" s="62" t="s">
        <v>652</v>
      </c>
      <c r="G18" s="60">
        <v>1300</v>
      </c>
      <c r="I18" s="20" t="s">
        <v>17</v>
      </c>
      <c r="J18" s="20">
        <v>1</v>
      </c>
      <c r="K18" s="34">
        <v>45449</v>
      </c>
      <c r="M18" s="20" t="s">
        <v>653</v>
      </c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71"/>
      <c r="CL18" s="71"/>
      <c r="CM18" s="71"/>
      <c r="CN18" s="71"/>
      <c r="CO18" s="71"/>
      <c r="CP18" s="71"/>
      <c r="CQ18" s="71"/>
      <c r="CR18" s="71"/>
      <c r="CS18" s="71"/>
      <c r="CT18" s="71"/>
      <c r="CU18" s="71"/>
      <c r="CV18" s="71"/>
      <c r="CW18" s="71"/>
      <c r="CX18" s="71"/>
      <c r="CY18" s="71"/>
      <c r="CZ18" s="71"/>
      <c r="DA18" s="71"/>
      <c r="DB18" s="71"/>
      <c r="DC18" s="71"/>
      <c r="DD18" s="76"/>
    </row>
    <row r="19" spans="1:108" s="20" customFormat="1" ht="84.75" hidden="1" customHeight="1">
      <c r="A19" s="25" t="s">
        <v>13</v>
      </c>
      <c r="C19" s="20" t="s">
        <v>810</v>
      </c>
      <c r="D19" s="20" t="s">
        <v>746</v>
      </c>
      <c r="E19" s="20">
        <v>1</v>
      </c>
      <c r="F19" s="22" t="s">
        <v>811</v>
      </c>
      <c r="G19" s="60">
        <v>1300</v>
      </c>
      <c r="I19" s="20" t="s">
        <v>17</v>
      </c>
      <c r="J19" s="20">
        <v>1</v>
      </c>
      <c r="K19" s="34">
        <v>45433</v>
      </c>
      <c r="M19" s="20" t="s">
        <v>749</v>
      </c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1"/>
      <c r="DA19" s="71"/>
      <c r="DB19" s="71"/>
      <c r="DC19" s="71"/>
      <c r="DD19" s="76"/>
    </row>
    <row r="20" spans="1:108" s="20" customFormat="1" ht="84.75" customHeight="1">
      <c r="A20" s="25" t="s">
        <v>13</v>
      </c>
      <c r="B20" s="54" t="s">
        <v>658</v>
      </c>
      <c r="C20" s="20" t="s">
        <v>812</v>
      </c>
      <c r="D20" s="20" t="s">
        <v>807</v>
      </c>
      <c r="E20" s="20">
        <v>1</v>
      </c>
      <c r="F20" s="27" t="s">
        <v>751</v>
      </c>
      <c r="G20" s="60">
        <v>800</v>
      </c>
      <c r="I20" s="20" t="s">
        <v>17</v>
      </c>
      <c r="J20" s="20">
        <v>1</v>
      </c>
      <c r="K20" s="34">
        <v>45433</v>
      </c>
      <c r="M20" s="20" t="s">
        <v>710</v>
      </c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/>
      <c r="CK20" s="71"/>
      <c r="CL20" s="71"/>
      <c r="CM20" s="71"/>
      <c r="CN20" s="71"/>
      <c r="CO20" s="71"/>
      <c r="CP20" s="71"/>
      <c r="CQ20" s="71"/>
      <c r="CR20" s="71"/>
      <c r="CS20" s="71"/>
      <c r="CT20" s="71"/>
      <c r="CU20" s="71"/>
      <c r="CV20" s="71"/>
      <c r="CW20" s="71"/>
      <c r="CX20" s="71"/>
      <c r="CY20" s="71"/>
      <c r="CZ20" s="71"/>
      <c r="DA20" s="71"/>
      <c r="DB20" s="71"/>
      <c r="DC20" s="71"/>
      <c r="DD20" s="76"/>
    </row>
    <row r="21" spans="1:108" s="20" customFormat="1" ht="84.75" hidden="1" customHeight="1">
      <c r="A21" s="25" t="s">
        <v>13</v>
      </c>
      <c r="B21" s="54" t="s">
        <v>813</v>
      </c>
      <c r="C21" s="20" t="s">
        <v>814</v>
      </c>
      <c r="D21" s="20" t="s">
        <v>815</v>
      </c>
      <c r="E21" s="20">
        <v>1</v>
      </c>
      <c r="F21" s="27" t="s">
        <v>665</v>
      </c>
      <c r="G21" s="60">
        <v>950</v>
      </c>
      <c r="I21" s="20" t="s">
        <v>17</v>
      </c>
      <c r="J21" s="20">
        <v>2</v>
      </c>
      <c r="K21" s="34">
        <v>45434</v>
      </c>
      <c r="M21" s="20" t="s">
        <v>710</v>
      </c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/>
      <c r="CK21" s="71"/>
      <c r="CL21" s="71"/>
      <c r="CM21" s="71"/>
      <c r="CN21" s="71"/>
      <c r="CO21" s="71"/>
      <c r="CP21" s="71"/>
      <c r="CQ21" s="71"/>
      <c r="CR21" s="71"/>
      <c r="CS21" s="71"/>
      <c r="CT21" s="71"/>
      <c r="CU21" s="71"/>
      <c r="CV21" s="71"/>
      <c r="CW21" s="71"/>
      <c r="CX21" s="71"/>
      <c r="CY21" s="71"/>
      <c r="CZ21" s="71"/>
      <c r="DA21" s="71"/>
      <c r="DB21" s="71"/>
      <c r="DC21" s="71"/>
      <c r="DD21" s="76"/>
    </row>
    <row r="22" spans="1:108" s="20" customFormat="1" ht="84.75" hidden="1" customHeight="1">
      <c r="A22" s="25" t="s">
        <v>13</v>
      </c>
      <c r="B22" s="54" t="s">
        <v>754</v>
      </c>
      <c r="C22" s="20" t="s">
        <v>816</v>
      </c>
      <c r="D22" s="20" t="s">
        <v>746</v>
      </c>
      <c r="E22" s="20">
        <v>1</v>
      </c>
      <c r="F22" s="27" t="s">
        <v>667</v>
      </c>
      <c r="G22" s="60">
        <v>950</v>
      </c>
      <c r="I22" s="20" t="s">
        <v>17</v>
      </c>
      <c r="J22" s="20">
        <v>2</v>
      </c>
      <c r="K22" s="34">
        <v>45391</v>
      </c>
      <c r="M22" s="20" t="s">
        <v>710</v>
      </c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1"/>
      <c r="CK22" s="71"/>
      <c r="CL22" s="71"/>
      <c r="CM22" s="71"/>
      <c r="CN22" s="71"/>
      <c r="CO22" s="71"/>
      <c r="CP22" s="71"/>
      <c r="CQ22" s="71"/>
      <c r="CR22" s="71"/>
      <c r="CS22" s="71"/>
      <c r="CT22" s="71"/>
      <c r="CU22" s="71"/>
      <c r="CV22" s="71"/>
      <c r="CW22" s="71"/>
      <c r="CX22" s="71"/>
      <c r="CY22" s="71"/>
      <c r="CZ22" s="71"/>
      <c r="DA22" s="71"/>
      <c r="DB22" s="71"/>
      <c r="DC22" s="71"/>
      <c r="DD22" s="76"/>
    </row>
    <row r="23" spans="1:108" s="20" customFormat="1" ht="84.75" hidden="1" customHeight="1">
      <c r="A23" s="25" t="s">
        <v>13</v>
      </c>
      <c r="B23" s="54" t="s">
        <v>817</v>
      </c>
      <c r="C23" s="20" t="s">
        <v>818</v>
      </c>
      <c r="D23" s="20" t="s">
        <v>746</v>
      </c>
      <c r="E23" s="20">
        <v>1</v>
      </c>
      <c r="F23" s="27" t="s">
        <v>758</v>
      </c>
      <c r="G23" s="60">
        <v>950</v>
      </c>
      <c r="I23" s="20" t="s">
        <v>17</v>
      </c>
      <c r="J23" s="20">
        <v>2</v>
      </c>
      <c r="K23" s="34">
        <v>45391</v>
      </c>
      <c r="M23" s="20" t="s">
        <v>710</v>
      </c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71"/>
      <c r="CL23" s="71"/>
      <c r="CM23" s="71"/>
      <c r="CN23" s="71"/>
      <c r="CO23" s="71"/>
      <c r="CP23" s="71"/>
      <c r="CQ23" s="71"/>
      <c r="CR23" s="71"/>
      <c r="CS23" s="71"/>
      <c r="CT23" s="71"/>
      <c r="CU23" s="71"/>
      <c r="CV23" s="71"/>
      <c r="CW23" s="71"/>
      <c r="CX23" s="71"/>
      <c r="CY23" s="71"/>
      <c r="CZ23" s="71"/>
      <c r="DA23" s="71"/>
      <c r="DB23" s="71"/>
      <c r="DC23" s="71"/>
      <c r="DD23" s="76"/>
    </row>
    <row r="24" spans="1:108" s="20" customFormat="1" ht="84.75" hidden="1" customHeight="1">
      <c r="A24" s="25" t="s">
        <v>13</v>
      </c>
      <c r="C24" s="20" t="s">
        <v>819</v>
      </c>
      <c r="D24" s="20" t="s">
        <v>746</v>
      </c>
      <c r="E24" s="20">
        <v>1</v>
      </c>
      <c r="F24" s="27" t="s">
        <v>820</v>
      </c>
      <c r="G24" s="60">
        <v>950</v>
      </c>
      <c r="I24" s="20" t="s">
        <v>17</v>
      </c>
      <c r="J24" s="20">
        <v>2</v>
      </c>
      <c r="K24" s="34">
        <v>45391</v>
      </c>
      <c r="M24" s="20" t="s">
        <v>725</v>
      </c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1"/>
      <c r="CA24" s="71"/>
      <c r="CB24" s="71"/>
      <c r="CC24" s="71"/>
      <c r="CD24" s="71"/>
      <c r="CE24" s="71"/>
      <c r="CF24" s="71"/>
      <c r="CG24" s="71"/>
      <c r="CH24" s="71"/>
      <c r="CI24" s="71"/>
      <c r="CJ24" s="71"/>
      <c r="CK24" s="71"/>
      <c r="CL24" s="71"/>
      <c r="CM24" s="71"/>
      <c r="CN24" s="71"/>
      <c r="CO24" s="71"/>
      <c r="CP24" s="71"/>
      <c r="CQ24" s="71"/>
      <c r="CR24" s="71"/>
      <c r="CS24" s="71"/>
      <c r="CT24" s="71"/>
      <c r="CU24" s="71"/>
      <c r="CV24" s="71"/>
      <c r="CW24" s="71"/>
      <c r="CX24" s="71"/>
      <c r="CY24" s="71"/>
      <c r="CZ24" s="71"/>
      <c r="DA24" s="71"/>
      <c r="DB24" s="71"/>
      <c r="DC24" s="71"/>
      <c r="DD24" s="76"/>
    </row>
    <row r="25" spans="1:108" s="20" customFormat="1" ht="84.75" hidden="1" customHeight="1">
      <c r="A25" s="25" t="s">
        <v>13</v>
      </c>
      <c r="B25" s="51" t="s">
        <v>583</v>
      </c>
      <c r="C25" s="20" t="s">
        <v>821</v>
      </c>
      <c r="D25" s="20" t="s">
        <v>822</v>
      </c>
      <c r="E25" s="20">
        <v>1</v>
      </c>
      <c r="F25" s="62" t="s">
        <v>770</v>
      </c>
      <c r="G25" s="60">
        <v>1300</v>
      </c>
      <c r="I25" s="20" t="s">
        <v>17</v>
      </c>
      <c r="J25" s="20">
        <v>1</v>
      </c>
      <c r="K25" s="34">
        <v>45484</v>
      </c>
      <c r="M25" s="20" t="s">
        <v>653</v>
      </c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1"/>
      <c r="CF25" s="71"/>
      <c r="CG25" s="71"/>
      <c r="CH25" s="71"/>
      <c r="CI25" s="71"/>
      <c r="CJ25" s="71"/>
      <c r="CK25" s="71"/>
      <c r="CL25" s="71"/>
      <c r="CM25" s="71"/>
      <c r="CN25" s="71"/>
      <c r="CO25" s="71"/>
      <c r="CP25" s="71"/>
      <c r="CQ25" s="71"/>
      <c r="CR25" s="71"/>
      <c r="CS25" s="71"/>
      <c r="CT25" s="71"/>
      <c r="CU25" s="71"/>
      <c r="CV25" s="71"/>
      <c r="CW25" s="71"/>
      <c r="CX25" s="71"/>
      <c r="CY25" s="71"/>
      <c r="CZ25" s="71"/>
      <c r="DA25" s="71"/>
      <c r="DB25" s="71"/>
      <c r="DC25" s="71"/>
      <c r="DD25" s="76"/>
    </row>
    <row r="26" spans="1:108" s="59" customFormat="1" ht="84.75" hidden="1" customHeight="1">
      <c r="A26" s="25" t="s">
        <v>13</v>
      </c>
      <c r="B26" s="51"/>
      <c r="C26" s="20" t="s">
        <v>823</v>
      </c>
      <c r="D26" s="20" t="s">
        <v>824</v>
      </c>
      <c r="E26" s="20">
        <v>1</v>
      </c>
      <c r="F26" s="62" t="s">
        <v>825</v>
      </c>
      <c r="G26" s="60">
        <v>1300</v>
      </c>
      <c r="H26" s="20"/>
      <c r="I26" s="20" t="s">
        <v>17</v>
      </c>
      <c r="J26" s="20">
        <v>2</v>
      </c>
      <c r="K26" s="34">
        <v>45498</v>
      </c>
      <c r="L26" s="20"/>
      <c r="M26" s="20" t="s">
        <v>653</v>
      </c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74"/>
      <c r="BP26" s="74"/>
      <c r="BQ26" s="74"/>
      <c r="BR26" s="74"/>
      <c r="BS26" s="74"/>
      <c r="BT26" s="74"/>
      <c r="BU26" s="74"/>
      <c r="BV26" s="74"/>
      <c r="BW26" s="74"/>
      <c r="BX26" s="74"/>
      <c r="BY26" s="74"/>
      <c r="BZ26" s="74"/>
      <c r="CA26" s="74"/>
      <c r="CB26" s="74"/>
      <c r="CC26" s="74"/>
      <c r="CD26" s="74"/>
      <c r="CE26" s="74"/>
      <c r="CF26" s="74"/>
      <c r="CG26" s="74"/>
      <c r="CH26" s="74"/>
      <c r="CI26" s="74"/>
      <c r="CJ26" s="74"/>
      <c r="CK26" s="74"/>
      <c r="CL26" s="74"/>
      <c r="CM26" s="74"/>
      <c r="CN26" s="74"/>
      <c r="CO26" s="74"/>
      <c r="CP26" s="74"/>
      <c r="CQ26" s="74"/>
      <c r="CR26" s="74"/>
      <c r="CS26" s="74"/>
      <c r="CT26" s="74"/>
      <c r="CU26" s="74"/>
      <c r="CV26" s="74"/>
      <c r="CW26" s="74"/>
      <c r="CX26" s="74"/>
      <c r="CY26" s="74"/>
      <c r="CZ26" s="74"/>
      <c r="DA26" s="74"/>
      <c r="DB26" s="74"/>
      <c r="DC26" s="74"/>
      <c r="DD26" s="77"/>
    </row>
    <row r="27" spans="1:108" s="59" customFormat="1" ht="84.75" hidden="1" customHeight="1">
      <c r="A27" s="25" t="s">
        <v>13</v>
      </c>
      <c r="B27" s="54" t="s">
        <v>583</v>
      </c>
      <c r="C27" s="20" t="s">
        <v>826</v>
      </c>
      <c r="D27" s="20" t="s">
        <v>827</v>
      </c>
      <c r="E27" s="20">
        <v>2</v>
      </c>
      <c r="F27" s="22" t="s">
        <v>828</v>
      </c>
      <c r="G27" s="60">
        <v>1960</v>
      </c>
      <c r="H27" s="20"/>
      <c r="I27" s="20" t="s">
        <v>17</v>
      </c>
      <c r="J27" s="20">
        <v>2</v>
      </c>
      <c r="K27" s="34">
        <v>45488</v>
      </c>
      <c r="L27" s="20"/>
      <c r="M27" s="20" t="s">
        <v>653</v>
      </c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4"/>
      <c r="BP27" s="74"/>
      <c r="BQ27" s="74"/>
      <c r="BR27" s="74"/>
      <c r="BS27" s="74"/>
      <c r="BT27" s="74"/>
      <c r="BU27" s="74"/>
      <c r="BV27" s="74"/>
      <c r="BW27" s="74"/>
      <c r="BX27" s="74"/>
      <c r="BY27" s="74"/>
      <c r="BZ27" s="74"/>
      <c r="CA27" s="74"/>
      <c r="CB27" s="74"/>
      <c r="CC27" s="74"/>
      <c r="CD27" s="74"/>
      <c r="CE27" s="74"/>
      <c r="CF27" s="74"/>
      <c r="CG27" s="74"/>
      <c r="CH27" s="74"/>
      <c r="CI27" s="74"/>
      <c r="CJ27" s="74"/>
      <c r="CK27" s="74"/>
      <c r="CL27" s="74"/>
      <c r="CM27" s="74"/>
      <c r="CN27" s="74"/>
      <c r="CO27" s="74"/>
      <c r="CP27" s="74"/>
      <c r="CQ27" s="74"/>
      <c r="CR27" s="74"/>
      <c r="CS27" s="74"/>
      <c r="CT27" s="74"/>
      <c r="CU27" s="74"/>
      <c r="CV27" s="74"/>
      <c r="CW27" s="74"/>
      <c r="CX27" s="74"/>
      <c r="CY27" s="74"/>
      <c r="CZ27" s="74"/>
      <c r="DA27" s="74"/>
      <c r="DB27" s="74"/>
      <c r="DC27" s="74"/>
      <c r="DD27" s="77"/>
    </row>
    <row r="28" spans="1:108" s="59" customFormat="1" ht="84.75" hidden="1" customHeight="1">
      <c r="A28" s="25" t="s">
        <v>13</v>
      </c>
      <c r="B28" s="54" t="s">
        <v>829</v>
      </c>
      <c r="C28" s="20"/>
      <c r="D28" s="20" t="s">
        <v>830</v>
      </c>
      <c r="E28" s="20">
        <v>1</v>
      </c>
      <c r="F28" s="22" t="s">
        <v>831</v>
      </c>
      <c r="G28" s="60">
        <v>1300</v>
      </c>
      <c r="H28" s="20"/>
      <c r="I28" s="20" t="s">
        <v>17</v>
      </c>
      <c r="J28" s="20">
        <v>2</v>
      </c>
      <c r="K28" s="34">
        <v>45518</v>
      </c>
      <c r="L28" s="20"/>
      <c r="M28" s="20" t="s">
        <v>653</v>
      </c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4"/>
      <c r="BP28" s="74"/>
      <c r="BQ28" s="74"/>
      <c r="BR28" s="74"/>
      <c r="BS28" s="74"/>
      <c r="BT28" s="74"/>
      <c r="BU28" s="74"/>
      <c r="BV28" s="74"/>
      <c r="BW28" s="74"/>
      <c r="BX28" s="74"/>
      <c r="BY28" s="74"/>
      <c r="BZ28" s="74"/>
      <c r="CA28" s="74"/>
      <c r="CB28" s="74"/>
      <c r="CC28" s="74"/>
      <c r="CD28" s="74"/>
      <c r="CE28" s="74"/>
      <c r="CF28" s="74"/>
      <c r="CG28" s="74"/>
      <c r="CH28" s="74"/>
      <c r="CI28" s="74"/>
      <c r="CJ28" s="74"/>
      <c r="CK28" s="74"/>
      <c r="CL28" s="74"/>
      <c r="CM28" s="74"/>
      <c r="CN28" s="74"/>
      <c r="CO28" s="74"/>
      <c r="CP28" s="74"/>
      <c r="CQ28" s="74"/>
      <c r="CR28" s="74"/>
      <c r="CS28" s="74"/>
      <c r="CT28" s="74"/>
      <c r="CU28" s="74"/>
      <c r="CV28" s="74"/>
      <c r="CW28" s="74"/>
      <c r="CX28" s="74"/>
      <c r="CY28" s="74"/>
      <c r="CZ28" s="74"/>
      <c r="DA28" s="74"/>
      <c r="DB28" s="74"/>
      <c r="DC28" s="74"/>
      <c r="DD28" s="77"/>
    </row>
    <row r="29" spans="1:108" s="59" customFormat="1" ht="84.75" hidden="1" customHeight="1">
      <c r="A29" s="25" t="s">
        <v>13</v>
      </c>
      <c r="B29" s="54" t="s">
        <v>832</v>
      </c>
      <c r="C29" s="20" t="s">
        <v>833</v>
      </c>
      <c r="D29" s="20" t="s">
        <v>834</v>
      </c>
      <c r="E29" s="20">
        <v>1</v>
      </c>
      <c r="F29" s="22" t="s">
        <v>835</v>
      </c>
      <c r="G29" s="60">
        <v>980</v>
      </c>
      <c r="H29" s="20"/>
      <c r="I29" s="20" t="s">
        <v>17</v>
      </c>
      <c r="J29" s="20">
        <v>2</v>
      </c>
      <c r="K29" s="34">
        <v>45518</v>
      </c>
      <c r="L29" s="20"/>
      <c r="M29" s="20" t="s">
        <v>653</v>
      </c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4"/>
      <c r="BQ29" s="74"/>
      <c r="BR29" s="74"/>
      <c r="BS29" s="74"/>
      <c r="BT29" s="74"/>
      <c r="BU29" s="74"/>
      <c r="BV29" s="74"/>
      <c r="BW29" s="74"/>
      <c r="BX29" s="74"/>
      <c r="BY29" s="74"/>
      <c r="BZ29" s="74"/>
      <c r="CA29" s="74"/>
      <c r="CB29" s="74"/>
      <c r="CC29" s="74"/>
      <c r="CD29" s="74"/>
      <c r="CE29" s="74"/>
      <c r="CF29" s="74"/>
      <c r="CG29" s="74"/>
      <c r="CH29" s="74"/>
      <c r="CI29" s="74"/>
      <c r="CJ29" s="74"/>
      <c r="CK29" s="74"/>
      <c r="CL29" s="74"/>
      <c r="CM29" s="74"/>
      <c r="CN29" s="74"/>
      <c r="CO29" s="74"/>
      <c r="CP29" s="74"/>
      <c r="CQ29" s="74"/>
      <c r="CR29" s="74"/>
      <c r="CS29" s="74"/>
      <c r="CT29" s="74"/>
      <c r="CU29" s="74"/>
      <c r="CV29" s="74"/>
      <c r="CW29" s="74"/>
      <c r="CX29" s="74"/>
      <c r="CY29" s="74"/>
      <c r="CZ29" s="74"/>
      <c r="DA29" s="74"/>
      <c r="DB29" s="74"/>
      <c r="DC29" s="74"/>
      <c r="DD29" s="77"/>
    </row>
    <row r="30" spans="1:108" s="59" customFormat="1" ht="84.75" hidden="1" customHeight="1">
      <c r="A30" s="25" t="s">
        <v>13</v>
      </c>
      <c r="B30" s="54" t="s">
        <v>583</v>
      </c>
      <c r="C30" s="20"/>
      <c r="D30" s="20" t="s">
        <v>830</v>
      </c>
      <c r="E30" s="20">
        <v>1</v>
      </c>
      <c r="F30" s="22" t="s">
        <v>836</v>
      </c>
      <c r="G30" s="60">
        <v>1300</v>
      </c>
      <c r="H30" s="20"/>
      <c r="I30" s="20" t="s">
        <v>17</v>
      </c>
      <c r="J30" s="20">
        <v>2</v>
      </c>
      <c r="K30" s="34">
        <v>45518</v>
      </c>
      <c r="L30" s="20"/>
      <c r="M30" s="20" t="s">
        <v>653</v>
      </c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74"/>
      <c r="BT30" s="74"/>
      <c r="BU30" s="74"/>
      <c r="BV30" s="74"/>
      <c r="BW30" s="74"/>
      <c r="BX30" s="74"/>
      <c r="BY30" s="74"/>
      <c r="BZ30" s="74"/>
      <c r="CA30" s="74"/>
      <c r="CB30" s="74"/>
      <c r="CC30" s="74"/>
      <c r="CD30" s="74"/>
      <c r="CE30" s="74"/>
      <c r="CF30" s="74"/>
      <c r="CG30" s="74"/>
      <c r="CH30" s="74"/>
      <c r="CI30" s="74"/>
      <c r="CJ30" s="74"/>
      <c r="CK30" s="74"/>
      <c r="CL30" s="74"/>
      <c r="CM30" s="74"/>
      <c r="CN30" s="74"/>
      <c r="CO30" s="74"/>
      <c r="CP30" s="74"/>
      <c r="CQ30" s="74"/>
      <c r="CR30" s="74"/>
      <c r="CS30" s="74"/>
      <c r="CT30" s="74"/>
      <c r="CU30" s="74"/>
      <c r="CV30" s="74"/>
      <c r="CW30" s="74"/>
      <c r="CX30" s="74"/>
      <c r="CY30" s="74"/>
      <c r="CZ30" s="74"/>
      <c r="DA30" s="74"/>
      <c r="DB30" s="74"/>
      <c r="DC30" s="74"/>
      <c r="DD30" s="77"/>
    </row>
    <row r="31" spans="1:108" s="59" customFormat="1" ht="84.75" hidden="1" customHeight="1">
      <c r="A31" s="25" t="s">
        <v>13</v>
      </c>
      <c r="B31" s="54" t="s">
        <v>583</v>
      </c>
      <c r="C31" s="20" t="s">
        <v>837</v>
      </c>
      <c r="D31" s="20" t="s">
        <v>809</v>
      </c>
      <c r="E31" s="20">
        <v>1</v>
      </c>
      <c r="F31" s="22" t="s">
        <v>838</v>
      </c>
      <c r="G31" s="60">
        <v>1300</v>
      </c>
      <c r="H31" s="20"/>
      <c r="I31" s="20" t="s">
        <v>17</v>
      </c>
      <c r="J31" s="20">
        <v>2</v>
      </c>
      <c r="K31" s="34">
        <v>45498</v>
      </c>
      <c r="L31" s="20"/>
      <c r="M31" s="20" t="s">
        <v>653</v>
      </c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4"/>
      <c r="BM31" s="74"/>
      <c r="BN31" s="74"/>
      <c r="BO31" s="74"/>
      <c r="BP31" s="74"/>
      <c r="BQ31" s="74"/>
      <c r="BR31" s="74"/>
      <c r="BS31" s="74"/>
      <c r="BT31" s="74"/>
      <c r="BU31" s="74"/>
      <c r="BV31" s="74"/>
      <c r="BW31" s="74"/>
      <c r="BX31" s="74"/>
      <c r="BY31" s="74"/>
      <c r="BZ31" s="74"/>
      <c r="CA31" s="74"/>
      <c r="CB31" s="74"/>
      <c r="CC31" s="74"/>
      <c r="CD31" s="74"/>
      <c r="CE31" s="74"/>
      <c r="CF31" s="74"/>
      <c r="CG31" s="74"/>
      <c r="CH31" s="74"/>
      <c r="CI31" s="74"/>
      <c r="CJ31" s="74"/>
      <c r="CK31" s="74"/>
      <c r="CL31" s="74"/>
      <c r="CM31" s="74"/>
      <c r="CN31" s="74"/>
      <c r="CO31" s="74"/>
      <c r="CP31" s="74"/>
      <c r="CQ31" s="74"/>
      <c r="CR31" s="74"/>
      <c r="CS31" s="74"/>
      <c r="CT31" s="74"/>
      <c r="CU31" s="74"/>
      <c r="CV31" s="74"/>
      <c r="CW31" s="74"/>
      <c r="CX31" s="74"/>
      <c r="CY31" s="74"/>
      <c r="CZ31" s="74"/>
      <c r="DA31" s="74"/>
      <c r="DB31" s="74"/>
      <c r="DC31" s="74"/>
      <c r="DD31" s="77"/>
    </row>
    <row r="32" spans="1:108" ht="42" hidden="1" customHeight="1">
      <c r="A32" s="67"/>
      <c r="B32" s="67"/>
      <c r="C32" s="67"/>
      <c r="D32" s="67"/>
      <c r="E32" s="68">
        <f>SUM(E2:E31)</f>
        <v>36</v>
      </c>
      <c r="F32" s="67"/>
      <c r="G32" s="69">
        <f>SUM(G2:G31)</f>
        <v>41840</v>
      </c>
      <c r="H32" s="67"/>
      <c r="I32" s="67"/>
      <c r="J32" s="67"/>
      <c r="K32" s="67"/>
      <c r="L32" s="67"/>
      <c r="M32" s="67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</sheetData>
  <autoFilter ref="A1:DD32" xr:uid="{00000000-0009-0000-0000-000011000000}">
    <filterColumn colId="5">
      <filters>
        <filter val="RUA SÃO LUCAS, 779, B: AGUA BRANCA, CONTAGEM, OBRA DO HELMUT."/>
      </filters>
    </filterColumn>
  </autoFilter>
  <hyperlinks>
    <hyperlink ref="M13" r:id="rId1" xr:uid="{00000000-0004-0000-1100-000000000000}"/>
  </hyperlink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19"/>
  <dimension ref="A1:DD34"/>
  <sheetViews>
    <sheetView topLeftCell="A26" workbookViewId="0">
      <selection activeCell="A27" sqref="A27:XFD27"/>
    </sheetView>
  </sheetViews>
  <sheetFormatPr defaultColWidth="9" defaultRowHeight="15"/>
  <cols>
    <col min="1" max="1" width="21.28515625" customWidth="1"/>
    <col min="2" max="2" width="17.140625" customWidth="1"/>
    <col min="3" max="4" width="14.5703125" customWidth="1"/>
    <col min="5" max="5" width="10.85546875" customWidth="1"/>
    <col min="6" max="6" width="24.42578125" customWidth="1"/>
    <col min="7" max="7" width="13.5703125" customWidth="1"/>
    <col min="9" max="9" width="15.140625" customWidth="1"/>
    <col min="10" max="10" width="12.85546875" customWidth="1"/>
    <col min="11" max="11" width="10.85546875" customWidth="1"/>
    <col min="13" max="13" width="58.140625" customWidth="1"/>
  </cols>
  <sheetData>
    <row r="1" spans="1:108" s="58" customFormat="1" ht="70.5" customHeight="1">
      <c r="A1" s="5" t="s">
        <v>0</v>
      </c>
      <c r="B1" s="7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</row>
    <row r="2" spans="1:108" s="20" customFormat="1" ht="89.25" customHeight="1">
      <c r="A2" s="25" t="s">
        <v>13</v>
      </c>
      <c r="B2" s="28"/>
      <c r="C2" s="20" t="s">
        <v>839</v>
      </c>
      <c r="D2" s="20" t="s">
        <v>840</v>
      </c>
      <c r="E2" s="20">
        <v>2</v>
      </c>
      <c r="F2" s="31" t="s">
        <v>841</v>
      </c>
      <c r="G2" s="60">
        <v>2600</v>
      </c>
      <c r="I2" s="20" t="s">
        <v>17</v>
      </c>
      <c r="J2" s="20">
        <v>2</v>
      </c>
      <c r="K2" s="34">
        <v>45394</v>
      </c>
      <c r="M2" s="20" t="s">
        <v>653</v>
      </c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  <c r="CY2" s="71"/>
      <c r="CZ2" s="71"/>
      <c r="DA2" s="71"/>
      <c r="DB2" s="71"/>
      <c r="DC2" s="71"/>
      <c r="DD2" s="76"/>
    </row>
    <row r="3" spans="1:108" s="20" customFormat="1" ht="89.25" customHeight="1">
      <c r="A3" s="25" t="s">
        <v>13</v>
      </c>
      <c r="B3" s="53" t="s">
        <v>842</v>
      </c>
      <c r="C3" s="20" t="s">
        <v>843</v>
      </c>
      <c r="D3" s="20" t="s">
        <v>840</v>
      </c>
      <c r="E3" s="20">
        <v>1</v>
      </c>
      <c r="F3" s="61" t="s">
        <v>844</v>
      </c>
      <c r="G3" s="60">
        <v>1300</v>
      </c>
      <c r="I3" s="20" t="s">
        <v>17</v>
      </c>
      <c r="J3" s="20">
        <v>2</v>
      </c>
      <c r="K3" s="34">
        <v>45393</v>
      </c>
      <c r="M3" s="20" t="s">
        <v>710</v>
      </c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1"/>
      <c r="CZ3" s="71"/>
      <c r="DA3" s="71"/>
      <c r="DB3" s="71"/>
      <c r="DC3" s="71"/>
      <c r="DD3" s="76"/>
    </row>
    <row r="4" spans="1:108" s="20" customFormat="1" ht="115.5" customHeight="1">
      <c r="A4" s="25" t="s">
        <v>13</v>
      </c>
      <c r="B4" s="78" t="s">
        <v>845</v>
      </c>
      <c r="C4" s="20" t="s">
        <v>846</v>
      </c>
      <c r="D4" s="20" t="s">
        <v>847</v>
      </c>
      <c r="E4" s="20">
        <v>1</v>
      </c>
      <c r="F4" s="20" t="s">
        <v>237</v>
      </c>
      <c r="G4" s="60">
        <v>1300</v>
      </c>
      <c r="I4" s="20" t="s">
        <v>17</v>
      </c>
      <c r="J4" s="20">
        <v>2</v>
      </c>
      <c r="K4" s="34"/>
      <c r="M4" s="20" t="s">
        <v>714</v>
      </c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71"/>
      <c r="CN4" s="71"/>
      <c r="CO4" s="71"/>
      <c r="CP4" s="71"/>
      <c r="CQ4" s="71"/>
      <c r="CR4" s="71"/>
      <c r="CS4" s="71"/>
      <c r="CT4" s="71"/>
      <c r="CU4" s="71"/>
      <c r="CV4" s="71"/>
      <c r="CW4" s="71"/>
      <c r="CX4" s="71"/>
      <c r="CY4" s="71"/>
      <c r="CZ4" s="71"/>
      <c r="DA4" s="71"/>
      <c r="DB4" s="71"/>
      <c r="DC4" s="71"/>
      <c r="DD4" s="76"/>
    </row>
    <row r="5" spans="1:108" s="20" customFormat="1" ht="115.5" customHeight="1">
      <c r="A5" s="25" t="s">
        <v>13</v>
      </c>
      <c r="B5" s="78" t="s">
        <v>784</v>
      </c>
      <c r="C5" s="20" t="s">
        <v>848</v>
      </c>
      <c r="D5" s="20" t="s">
        <v>849</v>
      </c>
      <c r="E5" s="20">
        <v>1</v>
      </c>
      <c r="F5" s="20" t="s">
        <v>717</v>
      </c>
      <c r="G5" s="60">
        <v>1300</v>
      </c>
      <c r="I5" s="20" t="s">
        <v>17</v>
      </c>
      <c r="J5" s="20">
        <v>2</v>
      </c>
      <c r="K5" s="34"/>
      <c r="M5" s="20" t="s">
        <v>710</v>
      </c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6"/>
    </row>
    <row r="6" spans="1:108" s="20" customFormat="1" ht="115.5" customHeight="1">
      <c r="A6" s="25" t="s">
        <v>13</v>
      </c>
      <c r="B6" s="78" t="s">
        <v>784</v>
      </c>
      <c r="C6" s="20" t="s">
        <v>850</v>
      </c>
      <c r="D6" s="20" t="s">
        <v>849</v>
      </c>
      <c r="E6" s="20">
        <v>1</v>
      </c>
      <c r="F6" s="20" t="s">
        <v>245</v>
      </c>
      <c r="G6" s="60">
        <v>1300</v>
      </c>
      <c r="I6" s="20" t="s">
        <v>17</v>
      </c>
      <c r="J6" s="20">
        <v>2</v>
      </c>
      <c r="K6" s="34"/>
      <c r="M6" s="20" t="s">
        <v>710</v>
      </c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  <c r="CY6" s="71"/>
      <c r="CZ6" s="71"/>
      <c r="DA6" s="71"/>
      <c r="DB6" s="71"/>
      <c r="DC6" s="71"/>
      <c r="DD6" s="76"/>
    </row>
    <row r="7" spans="1:108" s="19" customFormat="1" ht="108.75" customHeight="1">
      <c r="A7" s="25" t="s">
        <v>13</v>
      </c>
      <c r="B7" s="20"/>
      <c r="C7" s="20" t="s">
        <v>851</v>
      </c>
      <c r="D7" s="20" t="s">
        <v>852</v>
      </c>
      <c r="E7" s="20">
        <v>1</v>
      </c>
      <c r="F7" s="20" t="s">
        <v>483</v>
      </c>
      <c r="G7" s="60">
        <v>1300</v>
      </c>
      <c r="H7" s="20">
        <v>16</v>
      </c>
      <c r="I7" s="20" t="s">
        <v>17</v>
      </c>
      <c r="J7" s="20">
        <v>2</v>
      </c>
      <c r="K7" s="34">
        <v>45134</v>
      </c>
      <c r="L7" s="20"/>
      <c r="M7" s="20" t="s">
        <v>721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108" s="20" customFormat="1" ht="115.5" customHeight="1">
      <c r="A8" s="25" t="s">
        <v>13</v>
      </c>
      <c r="B8" s="52"/>
      <c r="C8" s="20" t="s">
        <v>853</v>
      </c>
      <c r="D8" s="20" t="s">
        <v>854</v>
      </c>
      <c r="E8" s="20">
        <v>2</v>
      </c>
      <c r="F8" s="20" t="s">
        <v>309</v>
      </c>
      <c r="G8" s="60">
        <v>2600</v>
      </c>
      <c r="I8" s="20" t="s">
        <v>17</v>
      </c>
      <c r="J8" s="20">
        <v>2</v>
      </c>
      <c r="K8" s="34"/>
      <c r="M8" s="20" t="s">
        <v>710</v>
      </c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1"/>
      <c r="DA8" s="71"/>
      <c r="DB8" s="71"/>
      <c r="DC8" s="71"/>
      <c r="DD8" s="76"/>
    </row>
    <row r="9" spans="1:108" s="20" customFormat="1" ht="115.5" customHeight="1">
      <c r="A9" s="25" t="s">
        <v>13</v>
      </c>
      <c r="B9" s="52"/>
      <c r="C9" s="20" t="s">
        <v>855</v>
      </c>
      <c r="D9" s="20" t="s">
        <v>854</v>
      </c>
      <c r="E9" s="20">
        <v>1</v>
      </c>
      <c r="F9" s="20" t="s">
        <v>793</v>
      </c>
      <c r="G9" s="60">
        <v>1300</v>
      </c>
      <c r="I9" s="20" t="s">
        <v>17</v>
      </c>
      <c r="J9" s="20">
        <v>2</v>
      </c>
      <c r="K9" s="34"/>
      <c r="M9" s="20" t="s">
        <v>725</v>
      </c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71"/>
      <c r="DA9" s="71"/>
      <c r="DB9" s="71"/>
      <c r="DC9" s="71"/>
      <c r="DD9" s="76"/>
    </row>
    <row r="10" spans="1:108" s="19" customFormat="1" ht="86.25" customHeight="1">
      <c r="A10" s="20" t="s">
        <v>13</v>
      </c>
      <c r="B10" s="20"/>
      <c r="C10" s="20" t="s">
        <v>856</v>
      </c>
      <c r="D10" s="20" t="s">
        <v>857</v>
      </c>
      <c r="E10" s="20">
        <v>1</v>
      </c>
      <c r="F10" s="20" t="s">
        <v>21</v>
      </c>
      <c r="G10" s="60">
        <v>1300</v>
      </c>
      <c r="H10" s="20">
        <v>4</v>
      </c>
      <c r="I10" s="20" t="s">
        <v>17</v>
      </c>
      <c r="J10" s="20">
        <v>2</v>
      </c>
      <c r="K10" s="34"/>
      <c r="L10" s="20"/>
      <c r="M10" s="20" t="s">
        <v>710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108" s="19" customFormat="1" ht="86.25" customHeight="1">
      <c r="A11" s="20" t="s">
        <v>13</v>
      </c>
      <c r="B11" s="54" t="s">
        <v>181</v>
      </c>
      <c r="C11" s="20" t="s">
        <v>856</v>
      </c>
      <c r="D11" s="20" t="s">
        <v>858</v>
      </c>
      <c r="E11" s="20">
        <v>1</v>
      </c>
      <c r="F11" s="20" t="s">
        <v>21</v>
      </c>
      <c r="G11" s="60">
        <v>1300</v>
      </c>
      <c r="H11" s="20">
        <v>4</v>
      </c>
      <c r="I11" s="20" t="s">
        <v>17</v>
      </c>
      <c r="J11" s="20">
        <v>2</v>
      </c>
      <c r="K11" s="34"/>
      <c r="L11" s="20"/>
      <c r="M11" s="20" t="s">
        <v>710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108" s="19" customFormat="1" ht="63" customHeight="1">
      <c r="A12" s="20" t="s">
        <v>73</v>
      </c>
      <c r="B12" s="20"/>
      <c r="C12" s="20" t="s">
        <v>859</v>
      </c>
      <c r="D12" s="34" t="s">
        <v>860</v>
      </c>
      <c r="E12" s="20">
        <v>1</v>
      </c>
      <c r="F12" s="20" t="s">
        <v>76</v>
      </c>
      <c r="G12" s="60">
        <v>600</v>
      </c>
      <c r="H12" s="20">
        <v>5</v>
      </c>
      <c r="I12" s="20" t="s">
        <v>77</v>
      </c>
      <c r="J12" s="20"/>
      <c r="K12" s="20"/>
      <c r="L12" s="20"/>
      <c r="M12" s="72" t="s">
        <v>731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108" s="20" customFormat="1" ht="113.25" customHeight="1">
      <c r="A13" s="25" t="s">
        <v>13</v>
      </c>
      <c r="B13" s="54" t="s">
        <v>861</v>
      </c>
      <c r="C13" s="20" t="s">
        <v>862</v>
      </c>
      <c r="D13" s="20" t="s">
        <v>863</v>
      </c>
      <c r="E13" s="20">
        <v>1</v>
      </c>
      <c r="F13" s="27" t="s">
        <v>578</v>
      </c>
      <c r="G13" s="60">
        <v>1300</v>
      </c>
      <c r="I13" s="20" t="s">
        <v>17</v>
      </c>
      <c r="J13" s="20">
        <v>2</v>
      </c>
      <c r="K13" s="34">
        <v>44983</v>
      </c>
      <c r="M13" s="20" t="s">
        <v>710</v>
      </c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6"/>
    </row>
    <row r="14" spans="1:108" s="19" customFormat="1" ht="80.25" customHeight="1">
      <c r="A14" s="25" t="s">
        <v>13</v>
      </c>
      <c r="B14" s="21" t="s">
        <v>110</v>
      </c>
      <c r="C14" s="20" t="s">
        <v>864</v>
      </c>
      <c r="D14" s="20" t="s">
        <v>865</v>
      </c>
      <c r="E14" s="20">
        <v>1</v>
      </c>
      <c r="F14" s="20" t="s">
        <v>113</v>
      </c>
      <c r="G14" s="60">
        <v>1300</v>
      </c>
      <c r="H14" s="20">
        <v>30</v>
      </c>
      <c r="I14" s="20" t="s">
        <v>17</v>
      </c>
      <c r="J14" s="20">
        <v>2</v>
      </c>
      <c r="K14" s="34">
        <v>45064</v>
      </c>
      <c r="L14" s="20"/>
      <c r="M14" s="20" t="s">
        <v>736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108" s="19" customFormat="1" ht="93.75" customHeight="1">
      <c r="A15" s="25" t="s">
        <v>13</v>
      </c>
      <c r="B15" s="21" t="s">
        <v>114</v>
      </c>
      <c r="C15" s="20" t="s">
        <v>866</v>
      </c>
      <c r="D15" s="20" t="s">
        <v>867</v>
      </c>
      <c r="E15" s="20">
        <v>1</v>
      </c>
      <c r="F15" s="20" t="s">
        <v>117</v>
      </c>
      <c r="G15" s="60">
        <v>1300</v>
      </c>
      <c r="H15" s="20">
        <v>30</v>
      </c>
      <c r="I15" s="20" t="s">
        <v>17</v>
      </c>
      <c r="J15" s="20">
        <v>2</v>
      </c>
      <c r="K15" s="34">
        <v>45040</v>
      </c>
      <c r="L15" s="20"/>
      <c r="M15" s="20" t="s">
        <v>739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108" s="20" customFormat="1" ht="84.75" customHeight="1">
      <c r="A16" s="25" t="s">
        <v>13</v>
      </c>
      <c r="C16" s="20" t="s">
        <v>868</v>
      </c>
      <c r="D16" s="20" t="s">
        <v>869</v>
      </c>
      <c r="E16" s="20">
        <v>1</v>
      </c>
      <c r="F16" s="62" t="s">
        <v>652</v>
      </c>
      <c r="G16" s="60">
        <v>1300</v>
      </c>
      <c r="I16" s="20" t="s">
        <v>17</v>
      </c>
      <c r="J16" s="20">
        <v>1</v>
      </c>
      <c r="K16" s="34">
        <v>45449</v>
      </c>
      <c r="M16" s="20" t="s">
        <v>653</v>
      </c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  <c r="CQ16" s="71"/>
      <c r="CR16" s="71"/>
      <c r="CS16" s="71"/>
      <c r="CT16" s="71"/>
      <c r="CU16" s="71"/>
      <c r="CV16" s="71"/>
      <c r="CW16" s="71"/>
      <c r="CX16" s="71"/>
      <c r="CY16" s="71"/>
      <c r="CZ16" s="71"/>
      <c r="DA16" s="71"/>
      <c r="DB16" s="71"/>
      <c r="DC16" s="71"/>
      <c r="DD16" s="76"/>
    </row>
    <row r="17" spans="1:108" s="20" customFormat="1" ht="84.75" customHeight="1">
      <c r="A17" s="25" t="s">
        <v>13</v>
      </c>
      <c r="B17" s="54" t="s">
        <v>658</v>
      </c>
      <c r="C17" s="20" t="s">
        <v>870</v>
      </c>
      <c r="D17" s="20" t="s">
        <v>871</v>
      </c>
      <c r="E17" s="20">
        <v>1</v>
      </c>
      <c r="F17" s="27" t="s">
        <v>751</v>
      </c>
      <c r="G17" s="60">
        <v>800</v>
      </c>
      <c r="I17" s="20" t="s">
        <v>17</v>
      </c>
      <c r="J17" s="20">
        <v>1</v>
      </c>
      <c r="K17" s="34">
        <v>45433</v>
      </c>
      <c r="M17" s="20" t="s">
        <v>710</v>
      </c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1"/>
      <c r="CU17" s="71"/>
      <c r="CV17" s="71"/>
      <c r="CW17" s="71"/>
      <c r="CX17" s="71"/>
      <c r="CY17" s="71"/>
      <c r="CZ17" s="71"/>
      <c r="DA17" s="71"/>
      <c r="DB17" s="71"/>
      <c r="DC17" s="71"/>
      <c r="DD17" s="76"/>
    </row>
    <row r="18" spans="1:108" s="20" customFormat="1" ht="84.75" customHeight="1">
      <c r="A18" s="25" t="s">
        <v>13</v>
      </c>
      <c r="B18" s="54" t="s">
        <v>817</v>
      </c>
      <c r="C18" s="20" t="s">
        <v>872</v>
      </c>
      <c r="D18" s="20" t="s">
        <v>809</v>
      </c>
      <c r="E18" s="20">
        <v>1</v>
      </c>
      <c r="F18" s="27" t="s">
        <v>758</v>
      </c>
      <c r="G18" s="60">
        <v>950</v>
      </c>
      <c r="I18" s="20" t="s">
        <v>17</v>
      </c>
      <c r="J18" s="20">
        <v>2</v>
      </c>
      <c r="K18" s="34">
        <v>45391</v>
      </c>
      <c r="M18" s="20" t="s">
        <v>710</v>
      </c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71"/>
      <c r="CL18" s="71"/>
      <c r="CM18" s="71"/>
      <c r="CN18" s="71"/>
      <c r="CO18" s="71"/>
      <c r="CP18" s="71"/>
      <c r="CQ18" s="71"/>
      <c r="CR18" s="71"/>
      <c r="CS18" s="71"/>
      <c r="CT18" s="71"/>
      <c r="CU18" s="71"/>
      <c r="CV18" s="71"/>
      <c r="CW18" s="71"/>
      <c r="CX18" s="71"/>
      <c r="CY18" s="71"/>
      <c r="CZ18" s="71"/>
      <c r="DA18" s="71"/>
      <c r="DB18" s="71"/>
      <c r="DC18" s="71"/>
      <c r="DD18" s="76"/>
    </row>
    <row r="19" spans="1:108" s="20" customFormat="1" ht="84.75" customHeight="1">
      <c r="A19" s="25" t="s">
        <v>13</v>
      </c>
      <c r="C19" s="20" t="s">
        <v>873</v>
      </c>
      <c r="D19" s="20" t="s">
        <v>809</v>
      </c>
      <c r="E19" s="20">
        <v>1</v>
      </c>
      <c r="F19" s="27" t="s">
        <v>820</v>
      </c>
      <c r="G19" s="60">
        <v>950</v>
      </c>
      <c r="I19" s="20" t="s">
        <v>17</v>
      </c>
      <c r="J19" s="20">
        <v>2</v>
      </c>
      <c r="K19" s="34">
        <v>45391</v>
      </c>
      <c r="M19" s="20" t="s">
        <v>725</v>
      </c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1"/>
      <c r="DA19" s="71"/>
      <c r="DB19" s="71"/>
      <c r="DC19" s="71"/>
      <c r="DD19" s="76"/>
    </row>
    <row r="20" spans="1:108" s="20" customFormat="1" ht="84.75" customHeight="1">
      <c r="A20" s="25" t="s">
        <v>13</v>
      </c>
      <c r="B20" s="51" t="s">
        <v>583</v>
      </c>
      <c r="C20" s="20" t="s">
        <v>874</v>
      </c>
      <c r="D20" s="20" t="s">
        <v>822</v>
      </c>
      <c r="E20" s="20">
        <v>1</v>
      </c>
      <c r="F20" s="62" t="s">
        <v>770</v>
      </c>
      <c r="G20" s="60">
        <v>1300</v>
      </c>
      <c r="I20" s="20" t="s">
        <v>17</v>
      </c>
      <c r="J20" s="20">
        <v>1</v>
      </c>
      <c r="K20" s="34">
        <v>45484</v>
      </c>
      <c r="M20" s="20" t="s">
        <v>653</v>
      </c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/>
      <c r="CK20" s="71"/>
      <c r="CL20" s="71"/>
      <c r="CM20" s="71"/>
      <c r="CN20" s="71"/>
      <c r="CO20" s="71"/>
      <c r="CP20" s="71"/>
      <c r="CQ20" s="71"/>
      <c r="CR20" s="71"/>
      <c r="CS20" s="71"/>
      <c r="CT20" s="71"/>
      <c r="CU20" s="71"/>
      <c r="CV20" s="71"/>
      <c r="CW20" s="71"/>
      <c r="CX20" s="71"/>
      <c r="CY20" s="71"/>
      <c r="CZ20" s="71"/>
      <c r="DA20" s="71"/>
      <c r="DB20" s="71"/>
      <c r="DC20" s="71"/>
      <c r="DD20" s="76"/>
    </row>
    <row r="21" spans="1:108" s="59" customFormat="1" ht="84.75" customHeight="1">
      <c r="A21" s="25" t="s">
        <v>13</v>
      </c>
      <c r="B21" s="51"/>
      <c r="C21" s="20" t="s">
        <v>875</v>
      </c>
      <c r="D21" s="20" t="s">
        <v>876</v>
      </c>
      <c r="E21" s="20">
        <v>1</v>
      </c>
      <c r="F21" s="62" t="s">
        <v>825</v>
      </c>
      <c r="G21" s="60">
        <v>1300</v>
      </c>
      <c r="H21" s="20"/>
      <c r="I21" s="20" t="s">
        <v>17</v>
      </c>
      <c r="J21" s="20">
        <v>2</v>
      </c>
      <c r="K21" s="34">
        <v>45498</v>
      </c>
      <c r="L21" s="20"/>
      <c r="M21" s="20" t="s">
        <v>653</v>
      </c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  <c r="BV21" s="74"/>
      <c r="BW21" s="74"/>
      <c r="BX21" s="74"/>
      <c r="BY21" s="74"/>
      <c r="BZ21" s="74"/>
      <c r="CA21" s="74"/>
      <c r="CB21" s="74"/>
      <c r="CC21" s="74"/>
      <c r="CD21" s="74"/>
      <c r="CE21" s="74"/>
      <c r="CF21" s="74"/>
      <c r="CG21" s="74"/>
      <c r="CH21" s="74"/>
      <c r="CI21" s="74"/>
      <c r="CJ21" s="74"/>
      <c r="CK21" s="74"/>
      <c r="CL21" s="74"/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7"/>
    </row>
    <row r="22" spans="1:108" s="59" customFormat="1" ht="84.75" customHeight="1">
      <c r="A22" s="25" t="s">
        <v>13</v>
      </c>
      <c r="B22" s="54" t="s">
        <v>583</v>
      </c>
      <c r="C22" s="20" t="s">
        <v>877</v>
      </c>
      <c r="D22" s="20" t="s">
        <v>878</v>
      </c>
      <c r="E22" s="20">
        <v>2</v>
      </c>
      <c r="F22" s="22" t="s">
        <v>879</v>
      </c>
      <c r="G22" s="60">
        <v>1960</v>
      </c>
      <c r="H22" s="20"/>
      <c r="I22" s="20" t="s">
        <v>17</v>
      </c>
      <c r="J22" s="20">
        <v>2</v>
      </c>
      <c r="K22" s="34">
        <v>45488</v>
      </c>
      <c r="L22" s="20"/>
      <c r="M22" s="20" t="s">
        <v>653</v>
      </c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74"/>
      <c r="BU22" s="74"/>
      <c r="BV22" s="74"/>
      <c r="BW22" s="74"/>
      <c r="BX22" s="74"/>
      <c r="BY22" s="74"/>
      <c r="BZ22" s="74"/>
      <c r="CA22" s="74"/>
      <c r="CB22" s="74"/>
      <c r="CC22" s="74"/>
      <c r="CD22" s="74"/>
      <c r="CE22" s="74"/>
      <c r="CF22" s="74"/>
      <c r="CG22" s="74"/>
      <c r="CH22" s="74"/>
      <c r="CI22" s="74"/>
      <c r="CJ22" s="74"/>
      <c r="CK22" s="74"/>
      <c r="CL22" s="74"/>
      <c r="CM22" s="74"/>
      <c r="CN22" s="74"/>
      <c r="CO22" s="74"/>
      <c r="CP22" s="74"/>
      <c r="CQ22" s="74"/>
      <c r="CR22" s="74"/>
      <c r="CS22" s="74"/>
      <c r="CT22" s="74"/>
      <c r="CU22" s="74"/>
      <c r="CV22" s="74"/>
      <c r="CW22" s="74"/>
      <c r="CX22" s="74"/>
      <c r="CY22" s="74"/>
      <c r="CZ22" s="74"/>
      <c r="DA22" s="74"/>
      <c r="DB22" s="74"/>
      <c r="DC22" s="74"/>
      <c r="DD22" s="77"/>
    </row>
    <row r="23" spans="1:108" s="59" customFormat="1" ht="84.75" customHeight="1">
      <c r="A23" s="25" t="s">
        <v>13</v>
      </c>
      <c r="B23" s="54" t="s">
        <v>829</v>
      </c>
      <c r="C23" s="20" t="s">
        <v>880</v>
      </c>
      <c r="D23" s="20" t="s">
        <v>881</v>
      </c>
      <c r="E23" s="20">
        <v>1</v>
      </c>
      <c r="F23" s="22" t="s">
        <v>831</v>
      </c>
      <c r="G23" s="60">
        <v>1300</v>
      </c>
      <c r="H23" s="20"/>
      <c r="I23" s="20" t="s">
        <v>17</v>
      </c>
      <c r="J23" s="20">
        <v>2</v>
      </c>
      <c r="K23" s="34">
        <v>45518</v>
      </c>
      <c r="L23" s="20"/>
      <c r="M23" s="20" t="s">
        <v>653</v>
      </c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4"/>
      <c r="BP23" s="74"/>
      <c r="BQ23" s="74"/>
      <c r="BR23" s="74"/>
      <c r="BS23" s="74"/>
      <c r="BT23" s="74"/>
      <c r="BU23" s="74"/>
      <c r="BV23" s="74"/>
      <c r="BW23" s="74"/>
      <c r="BX23" s="74"/>
      <c r="BY23" s="74"/>
      <c r="BZ23" s="74"/>
      <c r="CA23" s="74"/>
      <c r="CB23" s="74"/>
      <c r="CC23" s="74"/>
      <c r="CD23" s="74"/>
      <c r="CE23" s="74"/>
      <c r="CF23" s="74"/>
      <c r="CG23" s="74"/>
      <c r="CH23" s="74"/>
      <c r="CI23" s="74"/>
      <c r="CJ23" s="74"/>
      <c r="CK23" s="74"/>
      <c r="CL23" s="74"/>
      <c r="CM23" s="74"/>
      <c r="CN23" s="74"/>
      <c r="CO23" s="74"/>
      <c r="CP23" s="74"/>
      <c r="CQ23" s="74"/>
      <c r="CR23" s="74"/>
      <c r="CS23" s="74"/>
      <c r="CT23" s="74"/>
      <c r="CU23" s="74"/>
      <c r="CV23" s="74"/>
      <c r="CW23" s="74"/>
      <c r="CX23" s="74"/>
      <c r="CY23" s="74"/>
      <c r="CZ23" s="74"/>
      <c r="DA23" s="74"/>
      <c r="DB23" s="74"/>
      <c r="DC23" s="74"/>
      <c r="DD23" s="77"/>
    </row>
    <row r="24" spans="1:108" s="59" customFormat="1" ht="84.75" customHeight="1">
      <c r="A24" s="25" t="s">
        <v>13</v>
      </c>
      <c r="B24" s="54" t="s">
        <v>583</v>
      </c>
      <c r="C24" s="20" t="s">
        <v>882</v>
      </c>
      <c r="D24" s="20" t="s">
        <v>881</v>
      </c>
      <c r="E24" s="20">
        <v>1</v>
      </c>
      <c r="F24" s="22" t="s">
        <v>836</v>
      </c>
      <c r="G24" s="60">
        <v>1300</v>
      </c>
      <c r="H24" s="20"/>
      <c r="I24" s="20" t="s">
        <v>17</v>
      </c>
      <c r="J24" s="20">
        <v>2</v>
      </c>
      <c r="K24" s="34">
        <v>45518</v>
      </c>
      <c r="L24" s="20"/>
      <c r="M24" s="20" t="s">
        <v>653</v>
      </c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4"/>
      <c r="BP24" s="74"/>
      <c r="BQ24" s="74"/>
      <c r="BR24" s="74"/>
      <c r="BS24" s="74"/>
      <c r="BT24" s="74"/>
      <c r="BU24" s="74"/>
      <c r="BV24" s="74"/>
      <c r="BW24" s="74"/>
      <c r="BX24" s="74"/>
      <c r="BY24" s="74"/>
      <c r="BZ24" s="74"/>
      <c r="CA24" s="74"/>
      <c r="CB24" s="74"/>
      <c r="CC24" s="74"/>
      <c r="CD24" s="74"/>
      <c r="CE24" s="74"/>
      <c r="CF24" s="74"/>
      <c r="CG24" s="74"/>
      <c r="CH24" s="74"/>
      <c r="CI24" s="74"/>
      <c r="CJ24" s="74"/>
      <c r="CK24" s="74"/>
      <c r="CL24" s="74"/>
      <c r="CM24" s="74"/>
      <c r="CN24" s="74"/>
      <c r="CO24" s="74"/>
      <c r="CP24" s="74"/>
      <c r="CQ24" s="74"/>
      <c r="CR24" s="74"/>
      <c r="CS24" s="74"/>
      <c r="CT24" s="74"/>
      <c r="CU24" s="74"/>
      <c r="CV24" s="74"/>
      <c r="CW24" s="74"/>
      <c r="CX24" s="74"/>
      <c r="CY24" s="74"/>
      <c r="CZ24" s="74"/>
      <c r="DA24" s="74"/>
      <c r="DB24" s="74"/>
      <c r="DC24" s="74"/>
      <c r="DD24" s="77"/>
    </row>
    <row r="25" spans="1:108" s="59" customFormat="1" ht="84.75" customHeight="1">
      <c r="A25" s="25" t="s">
        <v>13</v>
      </c>
      <c r="B25" s="54" t="s">
        <v>583</v>
      </c>
      <c r="C25" s="20" t="s">
        <v>883</v>
      </c>
      <c r="D25" s="20" t="s">
        <v>869</v>
      </c>
      <c r="E25" s="20">
        <v>1</v>
      </c>
      <c r="F25" s="22" t="s">
        <v>838</v>
      </c>
      <c r="G25" s="60">
        <v>1300</v>
      </c>
      <c r="H25" s="20"/>
      <c r="I25" s="20" t="s">
        <v>17</v>
      </c>
      <c r="J25" s="20">
        <v>2</v>
      </c>
      <c r="K25" s="34">
        <v>45498</v>
      </c>
      <c r="L25" s="20"/>
      <c r="M25" s="20" t="s">
        <v>653</v>
      </c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4"/>
      <c r="BP25" s="74"/>
      <c r="BQ25" s="74"/>
      <c r="BR25" s="74"/>
      <c r="BS25" s="74"/>
      <c r="BT25" s="74"/>
      <c r="BU25" s="74"/>
      <c r="BV25" s="74"/>
      <c r="BW25" s="74"/>
      <c r="BX25" s="74"/>
      <c r="BY25" s="74"/>
      <c r="BZ25" s="74"/>
      <c r="CA25" s="74"/>
      <c r="CB25" s="74"/>
      <c r="CC25" s="74"/>
      <c r="CD25" s="74"/>
      <c r="CE25" s="74"/>
      <c r="CF25" s="74"/>
      <c r="CG25" s="74"/>
      <c r="CH25" s="74"/>
      <c r="CI25" s="74"/>
      <c r="CJ25" s="74"/>
      <c r="CK25" s="74"/>
      <c r="CL25" s="74"/>
      <c r="CM25" s="74"/>
      <c r="CN25" s="74"/>
      <c r="CO25" s="74"/>
      <c r="CP25" s="74"/>
      <c r="CQ25" s="74"/>
      <c r="CR25" s="74"/>
      <c r="CS25" s="74"/>
      <c r="CT25" s="74"/>
      <c r="CU25" s="74"/>
      <c r="CV25" s="74"/>
      <c r="CW25" s="74"/>
      <c r="CX25" s="74"/>
      <c r="CY25" s="74"/>
      <c r="CZ25" s="74"/>
      <c r="DA25" s="74"/>
      <c r="DB25" s="74"/>
      <c r="DC25" s="74"/>
      <c r="DD25" s="77"/>
    </row>
    <row r="26" spans="1:108" s="20" customFormat="1" ht="89.25" customHeight="1">
      <c r="A26" s="25" t="s">
        <v>13</v>
      </c>
      <c r="B26" s="28"/>
      <c r="C26" s="20" t="s">
        <v>884</v>
      </c>
      <c r="D26" s="20" t="s">
        <v>885</v>
      </c>
      <c r="E26" s="20">
        <v>1</v>
      </c>
      <c r="F26" s="27" t="s">
        <v>886</v>
      </c>
      <c r="G26" s="60">
        <v>1300</v>
      </c>
      <c r="I26" s="20" t="s">
        <v>17</v>
      </c>
      <c r="J26" s="20">
        <v>2</v>
      </c>
      <c r="K26" s="34">
        <v>45531</v>
      </c>
      <c r="M26" s="20" t="s">
        <v>653</v>
      </c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71"/>
      <c r="CF26" s="71"/>
      <c r="CG26" s="71"/>
      <c r="CH26" s="71"/>
      <c r="CI26" s="71"/>
      <c r="CJ26" s="71"/>
      <c r="CK26" s="71"/>
      <c r="CL26" s="71"/>
      <c r="CM26" s="71"/>
      <c r="CN26" s="71"/>
      <c r="CO26" s="71"/>
      <c r="CP26" s="71"/>
      <c r="CQ26" s="71"/>
      <c r="CR26" s="71"/>
      <c r="CS26" s="71"/>
      <c r="CT26" s="71"/>
      <c r="CU26" s="71"/>
      <c r="CV26" s="71"/>
      <c r="CW26" s="71"/>
      <c r="CX26" s="71"/>
      <c r="CY26" s="71"/>
      <c r="CZ26" s="71"/>
      <c r="DA26" s="71"/>
      <c r="DB26" s="71"/>
      <c r="DC26" s="71"/>
      <c r="DD26" s="76"/>
    </row>
    <row r="27" spans="1:108" s="20" customFormat="1" ht="89.25" customHeight="1">
      <c r="A27" s="25" t="s">
        <v>13</v>
      </c>
      <c r="B27" s="28"/>
      <c r="C27" s="20" t="s">
        <v>887</v>
      </c>
      <c r="D27" s="20" t="s">
        <v>888</v>
      </c>
      <c r="E27" s="20">
        <v>3</v>
      </c>
      <c r="F27" s="27" t="s">
        <v>889</v>
      </c>
      <c r="G27" s="60">
        <v>2940</v>
      </c>
      <c r="I27" s="20" t="s">
        <v>17</v>
      </c>
      <c r="J27" s="20">
        <v>2</v>
      </c>
      <c r="K27" s="34">
        <v>45531</v>
      </c>
      <c r="M27" s="20" t="s">
        <v>653</v>
      </c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1"/>
      <c r="CF27" s="71"/>
      <c r="CG27" s="71"/>
      <c r="CH27" s="71"/>
      <c r="CI27" s="71"/>
      <c r="CJ27" s="71"/>
      <c r="CK27" s="71"/>
      <c r="CL27" s="71"/>
      <c r="CM27" s="71"/>
      <c r="CN27" s="71"/>
      <c r="CO27" s="71"/>
      <c r="CP27" s="71"/>
      <c r="CQ27" s="71"/>
      <c r="CR27" s="71"/>
      <c r="CS27" s="71"/>
      <c r="CT27" s="71"/>
      <c r="CU27" s="71"/>
      <c r="CV27" s="71"/>
      <c r="CW27" s="71"/>
      <c r="CX27" s="71"/>
      <c r="CY27" s="71"/>
      <c r="CZ27" s="71"/>
      <c r="DA27" s="71"/>
      <c r="DB27" s="71"/>
      <c r="DC27" s="71"/>
      <c r="DD27" s="76"/>
    </row>
    <row r="28" spans="1:108" s="20" customFormat="1" ht="89.25" customHeight="1">
      <c r="A28" s="25" t="s">
        <v>13</v>
      </c>
      <c r="B28" s="28"/>
      <c r="C28" s="20" t="s">
        <v>890</v>
      </c>
      <c r="D28" s="20" t="s">
        <v>891</v>
      </c>
      <c r="E28" s="20">
        <v>1</v>
      </c>
      <c r="F28" s="27" t="s">
        <v>892</v>
      </c>
      <c r="G28" s="60">
        <v>1300</v>
      </c>
      <c r="I28" s="20" t="s">
        <v>17</v>
      </c>
      <c r="J28" s="20">
        <v>2</v>
      </c>
      <c r="K28" s="34">
        <v>45531</v>
      </c>
      <c r="M28" s="20" t="s">
        <v>653</v>
      </c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1"/>
      <c r="CF28" s="71"/>
      <c r="CG28" s="71"/>
      <c r="CH28" s="71"/>
      <c r="CI28" s="71"/>
      <c r="CJ28" s="71"/>
      <c r="CK28" s="71"/>
      <c r="CL28" s="71"/>
      <c r="CM28" s="71"/>
      <c r="CN28" s="71"/>
      <c r="CO28" s="71"/>
      <c r="CP28" s="71"/>
      <c r="CQ28" s="71"/>
      <c r="CR28" s="71"/>
      <c r="CS28" s="71"/>
      <c r="CT28" s="71"/>
      <c r="CU28" s="71"/>
      <c r="CV28" s="71"/>
      <c r="CW28" s="71"/>
      <c r="CX28" s="71"/>
      <c r="CY28" s="71"/>
      <c r="CZ28" s="71"/>
      <c r="DA28" s="71"/>
      <c r="DB28" s="71"/>
      <c r="DC28" s="71"/>
      <c r="DD28" s="76"/>
    </row>
    <row r="29" spans="1:108" s="20" customFormat="1" ht="89.25" customHeight="1">
      <c r="A29" s="25" t="s">
        <v>13</v>
      </c>
      <c r="B29" s="53" t="s">
        <v>893</v>
      </c>
      <c r="C29" s="20" t="s">
        <v>894</v>
      </c>
      <c r="D29" s="20" t="s">
        <v>891</v>
      </c>
      <c r="E29" s="20">
        <v>1</v>
      </c>
      <c r="F29" s="27" t="s">
        <v>895</v>
      </c>
      <c r="G29" s="60">
        <v>1300</v>
      </c>
      <c r="I29" s="20" t="s">
        <v>17</v>
      </c>
      <c r="J29" s="20">
        <v>2</v>
      </c>
      <c r="K29" s="34">
        <v>45532</v>
      </c>
      <c r="M29" s="20" t="s">
        <v>653</v>
      </c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1"/>
      <c r="CF29" s="71"/>
      <c r="CG29" s="71"/>
      <c r="CH29" s="71"/>
      <c r="CI29" s="71"/>
      <c r="CJ29" s="71"/>
      <c r="CK29" s="71"/>
      <c r="CL29" s="71"/>
      <c r="CM29" s="71"/>
      <c r="CN29" s="71"/>
      <c r="CO29" s="71"/>
      <c r="CP29" s="71"/>
      <c r="CQ29" s="71"/>
      <c r="CR29" s="71"/>
      <c r="CS29" s="71"/>
      <c r="CT29" s="71"/>
      <c r="CU29" s="71"/>
      <c r="CV29" s="71"/>
      <c r="CW29" s="71"/>
      <c r="CX29" s="71"/>
      <c r="CY29" s="71"/>
      <c r="CZ29" s="71"/>
      <c r="DA29" s="71"/>
      <c r="DB29" s="71"/>
      <c r="DC29" s="71"/>
      <c r="DD29" s="76"/>
    </row>
    <row r="30" spans="1:108" s="20" customFormat="1" ht="89.25" customHeight="1">
      <c r="A30" s="25" t="s">
        <v>13</v>
      </c>
      <c r="B30" s="53" t="s">
        <v>301</v>
      </c>
      <c r="C30" s="20" t="s">
        <v>896</v>
      </c>
      <c r="F30" s="27" t="s">
        <v>897</v>
      </c>
      <c r="G30" s="60">
        <v>3920</v>
      </c>
      <c r="I30" s="20" t="s">
        <v>17</v>
      </c>
      <c r="J30" s="20">
        <v>2</v>
      </c>
      <c r="K30" s="34"/>
      <c r="M30" s="20" t="s">
        <v>653</v>
      </c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71"/>
      <c r="BR30" s="71"/>
      <c r="BS30" s="71"/>
      <c r="BT30" s="71"/>
      <c r="BU30" s="71"/>
      <c r="BV30" s="71"/>
      <c r="BW30" s="71"/>
      <c r="BX30" s="71"/>
      <c r="BY30" s="71"/>
      <c r="BZ30" s="71"/>
      <c r="CA30" s="71"/>
      <c r="CB30" s="71"/>
      <c r="CC30" s="71"/>
      <c r="CD30" s="71"/>
      <c r="CE30" s="71"/>
      <c r="CF30" s="71"/>
      <c r="CG30" s="71"/>
      <c r="CH30" s="71"/>
      <c r="CI30" s="71"/>
      <c r="CJ30" s="71"/>
      <c r="CK30" s="71"/>
      <c r="CL30" s="71"/>
      <c r="CM30" s="71"/>
      <c r="CN30" s="71"/>
      <c r="CO30" s="71"/>
      <c r="CP30" s="71"/>
      <c r="CQ30" s="71"/>
      <c r="CR30" s="71"/>
      <c r="CS30" s="71"/>
      <c r="CT30" s="71"/>
      <c r="CU30" s="71"/>
      <c r="CV30" s="71"/>
      <c r="CW30" s="71"/>
      <c r="CX30" s="71"/>
      <c r="CY30" s="71"/>
      <c r="CZ30" s="71"/>
      <c r="DA30" s="71"/>
      <c r="DB30" s="71"/>
      <c r="DC30" s="71"/>
      <c r="DD30" s="76"/>
    </row>
    <row r="31" spans="1:108" ht="42" customHeight="1">
      <c r="A31" s="67"/>
      <c r="B31" s="67"/>
      <c r="C31" s="67"/>
      <c r="D31" s="67"/>
      <c r="E31" s="68">
        <f>SUM(E2:E30)</f>
        <v>33</v>
      </c>
      <c r="F31" s="67"/>
      <c r="G31" s="69">
        <f>SUM(G2:G30)</f>
        <v>43320</v>
      </c>
      <c r="H31" s="67"/>
      <c r="I31" s="67"/>
      <c r="J31" s="67"/>
      <c r="K31" s="67"/>
      <c r="L31" s="67"/>
      <c r="M31" s="67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10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3:28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3:28">
      <c r="D34" t="s">
        <v>147</v>
      </c>
    </row>
  </sheetData>
  <autoFilter ref="A1:DD31" xr:uid="{00000000-0009-0000-0000-000012000000}"/>
  <hyperlinks>
    <hyperlink ref="M12" r:id="rId1" xr:uid="{00000000-0004-0000-1200-000000000000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20" filterMode="1"/>
  <dimension ref="A1:DD31"/>
  <sheetViews>
    <sheetView workbookViewId="0">
      <selection activeCell="F18" sqref="F18"/>
    </sheetView>
  </sheetViews>
  <sheetFormatPr defaultColWidth="9" defaultRowHeight="15"/>
  <cols>
    <col min="1" max="1" width="21.28515625" customWidth="1"/>
    <col min="2" max="2" width="17.140625" customWidth="1"/>
    <col min="3" max="4" width="14.5703125" customWidth="1"/>
    <col min="5" max="5" width="10.85546875" customWidth="1"/>
    <col min="6" max="6" width="24.42578125" customWidth="1"/>
    <col min="7" max="7" width="13.5703125" customWidth="1"/>
    <col min="9" max="9" width="15.140625" customWidth="1"/>
    <col min="10" max="10" width="12.85546875" customWidth="1"/>
    <col min="11" max="11" width="10.85546875" customWidth="1"/>
    <col min="12" max="12" width="10.7109375" customWidth="1"/>
    <col min="13" max="13" width="58.140625" customWidth="1"/>
  </cols>
  <sheetData>
    <row r="1" spans="1:108" s="58" customFormat="1" ht="70.5" customHeight="1">
      <c r="A1" s="5" t="s">
        <v>0</v>
      </c>
      <c r="B1" s="7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</row>
    <row r="2" spans="1:108" s="20" customFormat="1" ht="89.25" hidden="1" customHeight="1">
      <c r="A2" s="25" t="s">
        <v>13</v>
      </c>
      <c r="B2" s="28"/>
      <c r="C2" s="20" t="s">
        <v>898</v>
      </c>
      <c r="D2" s="20" t="s">
        <v>899</v>
      </c>
      <c r="E2" s="20">
        <v>2</v>
      </c>
      <c r="F2" s="31" t="s">
        <v>841</v>
      </c>
      <c r="G2" s="60">
        <v>2600</v>
      </c>
      <c r="I2" s="20" t="s">
        <v>17</v>
      </c>
      <c r="J2" s="20">
        <v>2</v>
      </c>
      <c r="K2" s="34">
        <v>45394</v>
      </c>
      <c r="M2" s="20" t="s">
        <v>653</v>
      </c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  <c r="CY2" s="71"/>
      <c r="CZ2" s="71"/>
      <c r="DA2" s="71"/>
      <c r="DB2" s="71"/>
      <c r="DC2" s="71"/>
      <c r="DD2" s="76"/>
    </row>
    <row r="3" spans="1:108" s="20" customFormat="1" ht="89.25" hidden="1" customHeight="1">
      <c r="A3" s="25" t="s">
        <v>13</v>
      </c>
      <c r="B3" s="28" t="s">
        <v>900</v>
      </c>
      <c r="C3" s="20" t="s">
        <v>901</v>
      </c>
      <c r="D3" s="20" t="s">
        <v>902</v>
      </c>
      <c r="E3" s="20">
        <v>1</v>
      </c>
      <c r="F3" s="61" t="s">
        <v>778</v>
      </c>
      <c r="G3" s="60">
        <v>1300</v>
      </c>
      <c r="I3" s="20" t="s">
        <v>17</v>
      </c>
      <c r="J3" s="20">
        <v>2</v>
      </c>
      <c r="K3" s="34">
        <v>45393</v>
      </c>
      <c r="M3" s="20" t="s">
        <v>710</v>
      </c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1"/>
      <c r="CZ3" s="71"/>
      <c r="DA3" s="71"/>
      <c r="DB3" s="71"/>
      <c r="DC3" s="71"/>
      <c r="DD3" s="76"/>
    </row>
    <row r="4" spans="1:108" s="19" customFormat="1" ht="108.75" hidden="1" customHeight="1">
      <c r="A4" s="25" t="s">
        <v>13</v>
      </c>
      <c r="B4" s="20"/>
      <c r="C4" s="20" t="s">
        <v>903</v>
      </c>
      <c r="D4" s="20" t="s">
        <v>904</v>
      </c>
      <c r="E4" s="20">
        <v>1</v>
      </c>
      <c r="F4" s="20" t="s">
        <v>483</v>
      </c>
      <c r="G4" s="60">
        <v>1300</v>
      </c>
      <c r="H4" s="20">
        <v>16</v>
      </c>
      <c r="I4" s="20" t="s">
        <v>17</v>
      </c>
      <c r="J4" s="20">
        <v>2</v>
      </c>
      <c r="K4" s="34">
        <v>45134</v>
      </c>
      <c r="L4" s="20"/>
      <c r="M4" s="20" t="s">
        <v>721</v>
      </c>
    </row>
    <row r="5" spans="1:108" s="20" customFormat="1" ht="115.5" hidden="1" customHeight="1">
      <c r="A5" s="25" t="s">
        <v>13</v>
      </c>
      <c r="B5" s="52"/>
      <c r="C5" s="20" t="s">
        <v>905</v>
      </c>
      <c r="D5" s="20" t="s">
        <v>906</v>
      </c>
      <c r="E5" s="20">
        <v>2</v>
      </c>
      <c r="F5" s="20" t="s">
        <v>309</v>
      </c>
      <c r="G5" s="60">
        <v>2600</v>
      </c>
      <c r="I5" s="20" t="s">
        <v>17</v>
      </c>
      <c r="J5" s="20">
        <v>2</v>
      </c>
      <c r="K5" s="34"/>
      <c r="M5" s="20" t="s">
        <v>710</v>
      </c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6"/>
    </row>
    <row r="6" spans="1:108" s="20" customFormat="1" ht="115.5" hidden="1" customHeight="1">
      <c r="A6" s="25" t="s">
        <v>13</v>
      </c>
      <c r="B6" s="52"/>
      <c r="C6" s="20" t="s">
        <v>907</v>
      </c>
      <c r="D6" s="20" t="s">
        <v>906</v>
      </c>
      <c r="E6" s="20">
        <v>1</v>
      </c>
      <c r="F6" s="20" t="s">
        <v>793</v>
      </c>
      <c r="G6" s="60">
        <v>1300</v>
      </c>
      <c r="I6" s="20" t="s">
        <v>17</v>
      </c>
      <c r="J6" s="20">
        <v>2</v>
      </c>
      <c r="K6" s="34"/>
      <c r="M6" s="20" t="s">
        <v>725</v>
      </c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  <c r="CY6" s="71"/>
      <c r="CZ6" s="71"/>
      <c r="DA6" s="71"/>
      <c r="DB6" s="71"/>
      <c r="DC6" s="71"/>
      <c r="DD6" s="76"/>
    </row>
    <row r="7" spans="1:108" s="19" customFormat="1" ht="86.25" hidden="1" customHeight="1">
      <c r="A7" s="20" t="s">
        <v>13</v>
      </c>
      <c r="B7" s="20"/>
      <c r="C7" s="20" t="s">
        <v>908</v>
      </c>
      <c r="D7" s="20" t="s">
        <v>909</v>
      </c>
      <c r="E7" s="20">
        <v>1</v>
      </c>
      <c r="F7" s="20" t="s">
        <v>21</v>
      </c>
      <c r="G7" s="60">
        <v>1300</v>
      </c>
      <c r="H7" s="20">
        <v>4</v>
      </c>
      <c r="I7" s="20" t="s">
        <v>17</v>
      </c>
      <c r="J7" s="20">
        <v>2</v>
      </c>
      <c r="K7" s="34"/>
      <c r="L7" s="20"/>
      <c r="M7" s="20" t="s">
        <v>710</v>
      </c>
    </row>
    <row r="8" spans="1:108" s="19" customFormat="1" ht="63" hidden="1" customHeight="1">
      <c r="A8" s="20" t="s">
        <v>73</v>
      </c>
      <c r="B8" s="20"/>
      <c r="C8" s="20" t="s">
        <v>910</v>
      </c>
      <c r="D8" s="34" t="s">
        <v>911</v>
      </c>
      <c r="E8" s="20">
        <v>1</v>
      </c>
      <c r="F8" s="20" t="s">
        <v>76</v>
      </c>
      <c r="G8" s="60">
        <v>600</v>
      </c>
      <c r="H8" s="20">
        <v>5</v>
      </c>
      <c r="I8" s="20" t="s">
        <v>77</v>
      </c>
      <c r="J8" s="20"/>
      <c r="K8" s="20"/>
      <c r="L8" s="20"/>
      <c r="M8" s="72" t="s">
        <v>731</v>
      </c>
    </row>
    <row r="9" spans="1:108" s="20" customFormat="1" ht="113.25" hidden="1" customHeight="1">
      <c r="A9" s="25" t="s">
        <v>13</v>
      </c>
      <c r="B9" s="51" t="s">
        <v>861</v>
      </c>
      <c r="C9" s="20" t="s">
        <v>912</v>
      </c>
      <c r="D9" s="20" t="s">
        <v>913</v>
      </c>
      <c r="E9" s="20">
        <v>1</v>
      </c>
      <c r="F9" s="27" t="s">
        <v>578</v>
      </c>
      <c r="G9" s="60">
        <v>1300</v>
      </c>
      <c r="I9" s="20" t="s">
        <v>17</v>
      </c>
      <c r="J9" s="20">
        <v>2</v>
      </c>
      <c r="K9" s="34">
        <v>44983</v>
      </c>
      <c r="M9" s="20" t="s">
        <v>710</v>
      </c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71"/>
      <c r="DA9" s="71"/>
      <c r="DB9" s="71"/>
      <c r="DC9" s="71"/>
      <c r="DD9" s="76"/>
    </row>
    <row r="10" spans="1:108" s="19" customFormat="1" ht="80.25" hidden="1" customHeight="1">
      <c r="A10" s="25" t="s">
        <v>13</v>
      </c>
      <c r="B10" s="21" t="s">
        <v>110</v>
      </c>
      <c r="C10" s="20" t="s">
        <v>914</v>
      </c>
      <c r="D10" s="20" t="s">
        <v>915</v>
      </c>
      <c r="E10" s="20">
        <v>1</v>
      </c>
      <c r="F10" s="20" t="s">
        <v>113</v>
      </c>
      <c r="G10" s="60">
        <v>1300</v>
      </c>
      <c r="H10" s="20">
        <v>30</v>
      </c>
      <c r="I10" s="20" t="s">
        <v>17</v>
      </c>
      <c r="J10" s="20">
        <v>2</v>
      </c>
      <c r="K10" s="34">
        <v>45064</v>
      </c>
      <c r="L10" s="20"/>
      <c r="M10" s="20" t="s">
        <v>736</v>
      </c>
    </row>
    <row r="11" spans="1:108" s="19" customFormat="1" ht="93.75" hidden="1" customHeight="1">
      <c r="A11" s="25" t="s">
        <v>13</v>
      </c>
      <c r="B11" s="21" t="s">
        <v>114</v>
      </c>
      <c r="C11" s="20" t="s">
        <v>916</v>
      </c>
      <c r="D11" s="20" t="s">
        <v>917</v>
      </c>
      <c r="E11" s="20">
        <v>1</v>
      </c>
      <c r="F11" s="20" t="s">
        <v>117</v>
      </c>
      <c r="G11" s="60">
        <v>1300</v>
      </c>
      <c r="H11" s="20">
        <v>30</v>
      </c>
      <c r="I11" s="20" t="s">
        <v>17</v>
      </c>
      <c r="J11" s="20">
        <v>2</v>
      </c>
      <c r="K11" s="34">
        <v>45040</v>
      </c>
      <c r="L11" s="20"/>
      <c r="M11" s="20" t="s">
        <v>739</v>
      </c>
    </row>
    <row r="12" spans="1:108" s="20" customFormat="1" ht="84.75" hidden="1" customHeight="1">
      <c r="A12" s="25" t="s">
        <v>13</v>
      </c>
      <c r="C12" s="20" t="s">
        <v>918</v>
      </c>
      <c r="D12" s="20" t="s">
        <v>919</v>
      </c>
      <c r="E12" s="20">
        <v>1</v>
      </c>
      <c r="F12" s="22" t="s">
        <v>652</v>
      </c>
      <c r="G12" s="60">
        <v>1300</v>
      </c>
      <c r="I12" s="20" t="s">
        <v>17</v>
      </c>
      <c r="J12" s="20">
        <v>1</v>
      </c>
      <c r="K12" s="34">
        <v>45449</v>
      </c>
      <c r="M12" s="20" t="s">
        <v>653</v>
      </c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/>
      <c r="CT12" s="71"/>
      <c r="CU12" s="71"/>
      <c r="CV12" s="71"/>
      <c r="CW12" s="71"/>
      <c r="CX12" s="71"/>
      <c r="CY12" s="71"/>
      <c r="CZ12" s="71"/>
      <c r="DA12" s="71"/>
      <c r="DB12" s="71"/>
      <c r="DC12" s="71"/>
      <c r="DD12" s="76"/>
    </row>
    <row r="13" spans="1:108" s="20" customFormat="1" ht="84.75" hidden="1" customHeight="1">
      <c r="A13" s="25" t="s">
        <v>13</v>
      </c>
      <c r="B13" s="51" t="s">
        <v>658</v>
      </c>
      <c r="C13" s="20" t="s">
        <v>920</v>
      </c>
      <c r="D13" s="20" t="s">
        <v>921</v>
      </c>
      <c r="E13" s="20">
        <v>1</v>
      </c>
      <c r="F13" s="27" t="s">
        <v>751</v>
      </c>
      <c r="G13" s="60">
        <v>800</v>
      </c>
      <c r="I13" s="20" t="s">
        <v>17</v>
      </c>
      <c r="J13" s="20">
        <v>1</v>
      </c>
      <c r="K13" s="34">
        <v>45433</v>
      </c>
      <c r="M13" s="20" t="s">
        <v>710</v>
      </c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6"/>
    </row>
    <row r="14" spans="1:108" s="20" customFormat="1" ht="84.75" hidden="1" customHeight="1">
      <c r="A14" s="25" t="s">
        <v>13</v>
      </c>
      <c r="C14" s="20" t="s">
        <v>922</v>
      </c>
      <c r="D14" s="20" t="s">
        <v>923</v>
      </c>
      <c r="E14" s="20">
        <v>1</v>
      </c>
      <c r="F14" s="27" t="s">
        <v>924</v>
      </c>
      <c r="G14" s="60">
        <v>950</v>
      </c>
      <c r="I14" s="20" t="s">
        <v>17</v>
      </c>
      <c r="J14" s="20">
        <v>2</v>
      </c>
      <c r="K14" s="34">
        <v>45391</v>
      </c>
      <c r="M14" s="20" t="s">
        <v>725</v>
      </c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1"/>
      <c r="DA14" s="71"/>
      <c r="DB14" s="71"/>
      <c r="DC14" s="71"/>
      <c r="DD14" s="76"/>
    </row>
    <row r="15" spans="1:108" s="20" customFormat="1" ht="84.75" hidden="1" customHeight="1">
      <c r="A15" s="25" t="s">
        <v>13</v>
      </c>
      <c r="B15" s="51" t="s">
        <v>583</v>
      </c>
      <c r="C15" s="20" t="s">
        <v>925</v>
      </c>
      <c r="D15" s="20" t="s">
        <v>926</v>
      </c>
      <c r="E15" s="20">
        <v>1</v>
      </c>
      <c r="F15" s="22" t="s">
        <v>770</v>
      </c>
      <c r="G15" s="60">
        <v>1300</v>
      </c>
      <c r="I15" s="20" t="s">
        <v>17</v>
      </c>
      <c r="J15" s="20">
        <v>1</v>
      </c>
      <c r="K15" s="34">
        <v>45484</v>
      </c>
      <c r="M15" s="20" t="s">
        <v>653</v>
      </c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  <c r="CP15" s="71"/>
      <c r="CQ15" s="71"/>
      <c r="CR15" s="71"/>
      <c r="CS15" s="71"/>
      <c r="CT15" s="71"/>
      <c r="CU15" s="71"/>
      <c r="CV15" s="71"/>
      <c r="CW15" s="71"/>
      <c r="CX15" s="71"/>
      <c r="CY15" s="71"/>
      <c r="CZ15" s="71"/>
      <c r="DA15" s="71"/>
      <c r="DB15" s="71"/>
      <c r="DC15" s="71"/>
      <c r="DD15" s="76"/>
    </row>
    <row r="16" spans="1:108" s="20" customFormat="1" ht="84.75" hidden="1" customHeight="1">
      <c r="A16" s="25" t="s">
        <v>13</v>
      </c>
      <c r="B16" s="51"/>
      <c r="C16" s="20" t="s">
        <v>927</v>
      </c>
      <c r="D16" s="20" t="s">
        <v>928</v>
      </c>
      <c r="E16" s="20">
        <v>1</v>
      </c>
      <c r="F16" s="62" t="s">
        <v>825</v>
      </c>
      <c r="G16" s="60">
        <v>1300</v>
      </c>
      <c r="I16" s="20" t="s">
        <v>17</v>
      </c>
      <c r="J16" s="20">
        <v>2</v>
      </c>
      <c r="K16" s="34">
        <v>45498</v>
      </c>
      <c r="M16" s="20" t="s">
        <v>653</v>
      </c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  <c r="CQ16" s="71"/>
      <c r="CR16" s="71"/>
      <c r="CS16" s="71"/>
      <c r="CT16" s="71"/>
      <c r="CU16" s="71"/>
      <c r="CV16" s="71"/>
      <c r="CW16" s="71"/>
      <c r="CX16" s="71"/>
      <c r="CY16" s="71"/>
      <c r="CZ16" s="71"/>
      <c r="DA16" s="71"/>
      <c r="DB16" s="71"/>
      <c r="DC16" s="71"/>
      <c r="DD16" s="76"/>
    </row>
    <row r="17" spans="1:108" s="20" customFormat="1" ht="84.75" hidden="1" customHeight="1">
      <c r="A17" s="25" t="s">
        <v>13</v>
      </c>
      <c r="B17" s="51" t="s">
        <v>583</v>
      </c>
      <c r="C17" s="20" t="s">
        <v>929</v>
      </c>
      <c r="D17" s="20" t="s">
        <v>930</v>
      </c>
      <c r="E17" s="20">
        <v>2</v>
      </c>
      <c r="F17" s="22" t="s">
        <v>879</v>
      </c>
      <c r="G17" s="60">
        <v>1960</v>
      </c>
      <c r="I17" s="20" t="s">
        <v>17</v>
      </c>
      <c r="J17" s="20">
        <v>2</v>
      </c>
      <c r="K17" s="34">
        <v>45488</v>
      </c>
      <c r="M17" s="20" t="s">
        <v>653</v>
      </c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1"/>
      <c r="CU17" s="71"/>
      <c r="CV17" s="71"/>
      <c r="CW17" s="71"/>
      <c r="CX17" s="71"/>
      <c r="CY17" s="71"/>
      <c r="CZ17" s="71"/>
      <c r="DA17" s="71"/>
      <c r="DB17" s="71"/>
      <c r="DC17" s="71"/>
      <c r="DD17" s="76"/>
    </row>
    <row r="18" spans="1:108" s="59" customFormat="1" ht="84.75" customHeight="1">
      <c r="A18" s="63" t="s">
        <v>13</v>
      </c>
      <c r="B18" s="64" t="s">
        <v>931</v>
      </c>
      <c r="C18" s="59" t="s">
        <v>880</v>
      </c>
      <c r="D18" s="59" t="s">
        <v>932</v>
      </c>
      <c r="E18" s="59">
        <v>1</v>
      </c>
      <c r="F18" s="65" t="s">
        <v>831</v>
      </c>
      <c r="G18" s="66">
        <v>1300</v>
      </c>
      <c r="I18" s="59" t="s">
        <v>17</v>
      </c>
      <c r="J18" s="59">
        <v>2</v>
      </c>
      <c r="K18" s="73">
        <v>45518</v>
      </c>
      <c r="M18" s="59" t="s">
        <v>653</v>
      </c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74"/>
      <c r="CU18" s="74"/>
      <c r="CV18" s="74"/>
      <c r="CW18" s="74"/>
      <c r="CX18" s="74"/>
      <c r="CY18" s="74"/>
      <c r="CZ18" s="74"/>
      <c r="DA18" s="74"/>
      <c r="DB18" s="74"/>
      <c r="DC18" s="74"/>
      <c r="DD18" s="77"/>
    </row>
    <row r="19" spans="1:108" s="20" customFormat="1" ht="84.75" hidden="1" customHeight="1">
      <c r="A19" s="25" t="s">
        <v>13</v>
      </c>
      <c r="B19" s="51" t="s">
        <v>583</v>
      </c>
      <c r="C19" s="20" t="s">
        <v>933</v>
      </c>
      <c r="D19" s="20" t="s">
        <v>932</v>
      </c>
      <c r="E19" s="20">
        <v>1</v>
      </c>
      <c r="F19" s="22" t="s">
        <v>836</v>
      </c>
      <c r="G19" s="60">
        <v>1300</v>
      </c>
      <c r="I19" s="20" t="s">
        <v>17</v>
      </c>
      <c r="J19" s="20">
        <v>2</v>
      </c>
      <c r="K19" s="34">
        <v>45518</v>
      </c>
      <c r="M19" s="20" t="s">
        <v>653</v>
      </c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1"/>
      <c r="DA19" s="71"/>
      <c r="DB19" s="71"/>
      <c r="DC19" s="71"/>
      <c r="DD19" s="76"/>
    </row>
    <row r="20" spans="1:108" s="20" customFormat="1" ht="84.75" hidden="1" customHeight="1">
      <c r="A20" s="25" t="s">
        <v>13</v>
      </c>
      <c r="B20" s="51" t="s">
        <v>583</v>
      </c>
      <c r="C20" s="20" t="s">
        <v>934</v>
      </c>
      <c r="D20" s="20" t="s">
        <v>919</v>
      </c>
      <c r="E20" s="20">
        <v>1</v>
      </c>
      <c r="F20" s="22" t="s">
        <v>838</v>
      </c>
      <c r="G20" s="60">
        <v>1300</v>
      </c>
      <c r="I20" s="20" t="s">
        <v>17</v>
      </c>
      <c r="J20" s="20">
        <v>2</v>
      </c>
      <c r="K20" s="34">
        <v>45498</v>
      </c>
      <c r="M20" s="20" t="s">
        <v>653</v>
      </c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/>
      <c r="CK20" s="71"/>
      <c r="CL20" s="71"/>
      <c r="CM20" s="71"/>
      <c r="CN20" s="71"/>
      <c r="CO20" s="71"/>
      <c r="CP20" s="71"/>
      <c r="CQ20" s="71"/>
      <c r="CR20" s="71"/>
      <c r="CS20" s="71"/>
      <c r="CT20" s="71"/>
      <c r="CU20" s="71"/>
      <c r="CV20" s="71"/>
      <c r="CW20" s="71"/>
      <c r="CX20" s="71"/>
      <c r="CY20" s="71"/>
      <c r="CZ20" s="71"/>
      <c r="DA20" s="71"/>
      <c r="DB20" s="71"/>
      <c r="DC20" s="71"/>
      <c r="DD20" s="76"/>
    </row>
    <row r="21" spans="1:108" s="20" customFormat="1" ht="89.25" hidden="1" customHeight="1">
      <c r="A21" s="25" t="s">
        <v>13</v>
      </c>
      <c r="B21" s="28"/>
      <c r="C21" s="20" t="s">
        <v>935</v>
      </c>
      <c r="D21" s="20" t="s">
        <v>936</v>
      </c>
      <c r="E21" s="20">
        <v>1</v>
      </c>
      <c r="F21" s="27" t="s">
        <v>886</v>
      </c>
      <c r="G21" s="60">
        <v>1300</v>
      </c>
      <c r="I21" s="20" t="s">
        <v>17</v>
      </c>
      <c r="J21" s="20">
        <v>2</v>
      </c>
      <c r="K21" s="34">
        <v>45531</v>
      </c>
      <c r="M21" s="20" t="s">
        <v>653</v>
      </c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/>
      <c r="CK21" s="71"/>
      <c r="CL21" s="71"/>
      <c r="CM21" s="71"/>
      <c r="CN21" s="71"/>
      <c r="CO21" s="71"/>
      <c r="CP21" s="71"/>
      <c r="CQ21" s="71"/>
      <c r="CR21" s="71"/>
      <c r="CS21" s="71"/>
      <c r="CT21" s="71"/>
      <c r="CU21" s="71"/>
      <c r="CV21" s="71"/>
      <c r="CW21" s="71"/>
      <c r="CX21" s="71"/>
      <c r="CY21" s="71"/>
      <c r="CZ21" s="71"/>
      <c r="DA21" s="71"/>
      <c r="DB21" s="71"/>
      <c r="DC21" s="71"/>
      <c r="DD21" s="76"/>
    </row>
    <row r="22" spans="1:108" s="20" customFormat="1" ht="89.25" hidden="1" customHeight="1">
      <c r="A22" s="25" t="s">
        <v>13</v>
      </c>
      <c r="B22" s="28"/>
      <c r="C22" s="20" t="s">
        <v>937</v>
      </c>
      <c r="D22" s="20" t="s">
        <v>938</v>
      </c>
      <c r="E22" s="20">
        <v>3</v>
      </c>
      <c r="F22" s="27" t="s">
        <v>939</v>
      </c>
      <c r="G22" s="60">
        <v>2940</v>
      </c>
      <c r="I22" s="20" t="s">
        <v>17</v>
      </c>
      <c r="J22" s="20">
        <v>2</v>
      </c>
      <c r="K22" s="34">
        <v>45531</v>
      </c>
      <c r="M22" s="20" t="s">
        <v>653</v>
      </c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1"/>
      <c r="CK22" s="71"/>
      <c r="CL22" s="71"/>
      <c r="CM22" s="71"/>
      <c r="CN22" s="71"/>
      <c r="CO22" s="71"/>
      <c r="CP22" s="71"/>
      <c r="CQ22" s="71"/>
      <c r="CR22" s="71"/>
      <c r="CS22" s="71"/>
      <c r="CT22" s="71"/>
      <c r="CU22" s="71"/>
      <c r="CV22" s="71"/>
      <c r="CW22" s="71"/>
      <c r="CX22" s="71"/>
      <c r="CY22" s="71"/>
      <c r="CZ22" s="71"/>
      <c r="DA22" s="71"/>
      <c r="DB22" s="71"/>
      <c r="DC22" s="71"/>
      <c r="DD22" s="76"/>
    </row>
    <row r="23" spans="1:108" s="20" customFormat="1" ht="89.25" hidden="1" customHeight="1">
      <c r="A23" s="25" t="s">
        <v>13</v>
      </c>
      <c r="B23" s="28"/>
      <c r="C23" s="20" t="s">
        <v>940</v>
      </c>
      <c r="D23" s="20" t="s">
        <v>941</v>
      </c>
      <c r="E23" s="20">
        <v>1</v>
      </c>
      <c r="F23" s="27" t="s">
        <v>892</v>
      </c>
      <c r="G23" s="60">
        <v>1300</v>
      </c>
      <c r="I23" s="20" t="s">
        <v>17</v>
      </c>
      <c r="J23" s="20">
        <v>2</v>
      </c>
      <c r="K23" s="34">
        <v>45531</v>
      </c>
      <c r="M23" s="20" t="s">
        <v>653</v>
      </c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71"/>
      <c r="CL23" s="71"/>
      <c r="CM23" s="71"/>
      <c r="CN23" s="71"/>
      <c r="CO23" s="71"/>
      <c r="CP23" s="71"/>
      <c r="CQ23" s="71"/>
      <c r="CR23" s="71"/>
      <c r="CS23" s="71"/>
      <c r="CT23" s="71"/>
      <c r="CU23" s="71"/>
      <c r="CV23" s="71"/>
      <c r="CW23" s="71"/>
      <c r="CX23" s="71"/>
      <c r="CY23" s="71"/>
      <c r="CZ23" s="71"/>
      <c r="DA23" s="71"/>
      <c r="DB23" s="71"/>
      <c r="DC23" s="71"/>
      <c r="DD23" s="76"/>
    </row>
    <row r="24" spans="1:108" s="20" customFormat="1" ht="89.25" hidden="1" customHeight="1">
      <c r="A24" s="25" t="s">
        <v>13</v>
      </c>
      <c r="B24" s="28" t="s">
        <v>583</v>
      </c>
      <c r="C24" s="20" t="s">
        <v>942</v>
      </c>
      <c r="D24" s="20" t="s">
        <v>936</v>
      </c>
      <c r="E24" s="20">
        <v>2</v>
      </c>
      <c r="F24" s="27" t="s">
        <v>943</v>
      </c>
      <c r="G24" s="60">
        <v>1960</v>
      </c>
      <c r="I24" s="20" t="s">
        <v>17</v>
      </c>
      <c r="J24" s="20">
        <v>2</v>
      </c>
      <c r="K24" s="34">
        <v>45568</v>
      </c>
      <c r="M24" s="20" t="s">
        <v>653</v>
      </c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1"/>
      <c r="CA24" s="71"/>
      <c r="CB24" s="71"/>
      <c r="CC24" s="71"/>
      <c r="CD24" s="71"/>
      <c r="CE24" s="71"/>
      <c r="CF24" s="71"/>
      <c r="CG24" s="71"/>
      <c r="CH24" s="71"/>
      <c r="CI24" s="71"/>
      <c r="CJ24" s="71"/>
      <c r="CK24" s="71"/>
      <c r="CL24" s="71"/>
      <c r="CM24" s="71"/>
      <c r="CN24" s="71"/>
      <c r="CO24" s="71"/>
      <c r="CP24" s="71"/>
      <c r="CQ24" s="71"/>
      <c r="CR24" s="71"/>
      <c r="CS24" s="71"/>
      <c r="CT24" s="71"/>
      <c r="CU24" s="71"/>
      <c r="CV24" s="71"/>
      <c r="CW24" s="71"/>
      <c r="CX24" s="71"/>
      <c r="CY24" s="71"/>
      <c r="CZ24" s="71"/>
      <c r="DA24" s="71"/>
      <c r="DB24" s="71"/>
      <c r="DC24" s="71"/>
      <c r="DD24" s="76"/>
    </row>
    <row r="25" spans="1:108" s="20" customFormat="1" ht="89.25" hidden="1" customHeight="1">
      <c r="A25" s="25" t="s">
        <v>13</v>
      </c>
      <c r="B25" s="28" t="s">
        <v>583</v>
      </c>
      <c r="C25" s="20" t="s">
        <v>944</v>
      </c>
      <c r="D25" s="20" t="s">
        <v>945</v>
      </c>
      <c r="E25" s="20">
        <v>1</v>
      </c>
      <c r="F25" s="27" t="s">
        <v>946</v>
      </c>
      <c r="G25" s="60">
        <v>1300</v>
      </c>
      <c r="I25" s="20" t="s">
        <v>17</v>
      </c>
      <c r="J25" s="20">
        <v>2</v>
      </c>
      <c r="K25" s="34">
        <v>45562</v>
      </c>
      <c r="M25" s="20" t="s">
        <v>653</v>
      </c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1"/>
      <c r="CF25" s="71"/>
      <c r="CG25" s="71"/>
      <c r="CH25" s="71"/>
      <c r="CI25" s="71"/>
      <c r="CJ25" s="71"/>
      <c r="CK25" s="71"/>
      <c r="CL25" s="71"/>
      <c r="CM25" s="71"/>
      <c r="CN25" s="71"/>
      <c r="CO25" s="71"/>
      <c r="CP25" s="71"/>
      <c r="CQ25" s="71"/>
      <c r="CR25" s="71"/>
      <c r="CS25" s="71"/>
      <c r="CT25" s="71"/>
      <c r="CU25" s="71"/>
      <c r="CV25" s="71"/>
      <c r="CW25" s="71"/>
      <c r="CX25" s="71"/>
      <c r="CY25" s="71"/>
      <c r="CZ25" s="71"/>
      <c r="DA25" s="71"/>
      <c r="DB25" s="71"/>
      <c r="DC25" s="71"/>
      <c r="DD25" s="76"/>
    </row>
    <row r="26" spans="1:108" s="20" customFormat="1" ht="89.25" hidden="1" customHeight="1">
      <c r="A26" s="25" t="s">
        <v>13</v>
      </c>
      <c r="B26" s="28" t="s">
        <v>583</v>
      </c>
      <c r="C26" s="20" t="s">
        <v>947</v>
      </c>
      <c r="D26" s="20" t="s">
        <v>948</v>
      </c>
      <c r="E26" s="20">
        <v>1</v>
      </c>
      <c r="F26" s="27" t="s">
        <v>949</v>
      </c>
      <c r="G26" s="60">
        <v>980</v>
      </c>
      <c r="I26" s="20" t="s">
        <v>17</v>
      </c>
      <c r="J26" s="20">
        <v>2</v>
      </c>
      <c r="K26" s="34">
        <v>45545</v>
      </c>
      <c r="M26" s="20" t="s">
        <v>653</v>
      </c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71"/>
      <c r="CF26" s="71"/>
      <c r="CG26" s="71"/>
      <c r="CH26" s="71"/>
      <c r="CI26" s="71"/>
      <c r="CJ26" s="71"/>
      <c r="CK26" s="71"/>
      <c r="CL26" s="71"/>
      <c r="CM26" s="71"/>
      <c r="CN26" s="71"/>
      <c r="CO26" s="71"/>
      <c r="CP26" s="71"/>
      <c r="CQ26" s="71"/>
      <c r="CR26" s="71"/>
      <c r="CS26" s="71"/>
      <c r="CT26" s="71"/>
      <c r="CU26" s="71"/>
      <c r="CV26" s="71"/>
      <c r="CW26" s="71"/>
      <c r="CX26" s="71"/>
      <c r="CY26" s="71"/>
      <c r="CZ26" s="71"/>
      <c r="DA26" s="71"/>
      <c r="DB26" s="71"/>
      <c r="DC26" s="71"/>
      <c r="DD26" s="76"/>
    </row>
    <row r="27" spans="1:108" s="20" customFormat="1" ht="89.25" hidden="1" customHeight="1">
      <c r="A27" s="25" t="s">
        <v>13</v>
      </c>
      <c r="B27" s="28" t="s">
        <v>950</v>
      </c>
      <c r="C27" s="20" t="s">
        <v>951</v>
      </c>
      <c r="D27" s="20" t="s">
        <v>952</v>
      </c>
      <c r="E27" s="20">
        <v>1</v>
      </c>
      <c r="F27" s="27" t="s">
        <v>953</v>
      </c>
      <c r="G27" s="60">
        <v>1300</v>
      </c>
      <c r="I27" s="20" t="s">
        <v>17</v>
      </c>
      <c r="J27" s="20">
        <v>2</v>
      </c>
      <c r="K27" s="34">
        <v>45545</v>
      </c>
      <c r="L27" s="75">
        <v>45590</v>
      </c>
      <c r="M27" s="20" t="s">
        <v>653</v>
      </c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1"/>
      <c r="CF27" s="71"/>
      <c r="CG27" s="71"/>
      <c r="CH27" s="71"/>
      <c r="CI27" s="71"/>
      <c r="CJ27" s="71"/>
      <c r="CK27" s="71"/>
      <c r="CL27" s="71"/>
      <c r="CM27" s="71"/>
      <c r="CN27" s="71"/>
      <c r="CO27" s="71"/>
      <c r="CP27" s="71"/>
      <c r="CQ27" s="71"/>
      <c r="CR27" s="71"/>
      <c r="CS27" s="71"/>
      <c r="CT27" s="71"/>
      <c r="CU27" s="71"/>
      <c r="CV27" s="71"/>
      <c r="CW27" s="71"/>
      <c r="CX27" s="71"/>
      <c r="CY27" s="71"/>
      <c r="CZ27" s="71"/>
      <c r="DA27" s="71"/>
      <c r="DB27" s="71"/>
      <c r="DC27" s="71"/>
      <c r="DD27" s="76"/>
    </row>
    <row r="28" spans="1:108" ht="42" hidden="1" customHeight="1">
      <c r="A28" s="67"/>
      <c r="B28" s="67"/>
      <c r="C28" s="67"/>
      <c r="D28" s="67"/>
      <c r="E28" s="68">
        <f>SUM(E2:E27)</f>
        <v>32</v>
      </c>
      <c r="F28" s="67"/>
      <c r="G28" s="69">
        <f>SUM(G2:G27)</f>
        <v>37490</v>
      </c>
      <c r="H28" s="67"/>
      <c r="I28" s="67"/>
      <c r="J28" s="67"/>
      <c r="K28" s="67"/>
      <c r="L28" s="67"/>
      <c r="M28" s="6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10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108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108">
      <c r="D31" t="s">
        <v>147</v>
      </c>
    </row>
  </sheetData>
  <autoFilter ref="A1:DD28" xr:uid="{00000000-0009-0000-0000-000013000000}">
    <filterColumn colId="5">
      <filters>
        <filter val="VL 30"/>
      </filters>
    </filterColumn>
  </autoFilter>
  <hyperlinks>
    <hyperlink ref="M8" r:id="rId1" xr:uid="{00000000-0004-0000-1300-000000000000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21"/>
  <dimension ref="A1:K19"/>
  <sheetViews>
    <sheetView workbookViewId="0">
      <selection activeCell="F19" sqref="F19"/>
    </sheetView>
  </sheetViews>
  <sheetFormatPr defaultColWidth="9" defaultRowHeight="15"/>
  <cols>
    <col min="1" max="1" width="17.5703125" customWidth="1"/>
    <col min="2" max="2" width="16.140625" customWidth="1"/>
    <col min="3" max="3" width="11.85546875" customWidth="1"/>
    <col min="4" max="4" width="27.28515625" customWidth="1"/>
    <col min="5" max="5" width="13.42578125" customWidth="1"/>
    <col min="6" max="6" width="50.7109375" customWidth="1"/>
    <col min="7" max="7" width="13" customWidth="1"/>
    <col min="8" max="8" width="12.28515625" customWidth="1"/>
    <col min="9" max="9" width="13" customWidth="1"/>
    <col min="10" max="10" width="42" customWidth="1"/>
    <col min="11" max="11" width="17.140625" customWidth="1"/>
  </cols>
  <sheetData>
    <row r="1" spans="1:11" ht="47.25" customHeight="1">
      <c r="A1" s="5" t="s">
        <v>0</v>
      </c>
      <c r="B1" s="7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954</v>
      </c>
      <c r="H1" s="7" t="s">
        <v>955</v>
      </c>
      <c r="I1" s="7" t="s">
        <v>10</v>
      </c>
      <c r="J1" s="14" t="s">
        <v>12</v>
      </c>
      <c r="K1" s="15" t="s">
        <v>956</v>
      </c>
    </row>
    <row r="2" spans="1:11" ht="93" customHeight="1">
      <c r="A2" s="25" t="s">
        <v>13</v>
      </c>
      <c r="B2" s="53" t="s">
        <v>957</v>
      </c>
      <c r="C2" s="20" t="s">
        <v>958</v>
      </c>
      <c r="D2" s="20" t="s">
        <v>959</v>
      </c>
      <c r="E2" s="20">
        <v>2</v>
      </c>
      <c r="F2" s="27" t="s">
        <v>960</v>
      </c>
      <c r="G2" s="24">
        <v>1300</v>
      </c>
      <c r="H2" s="24">
        <v>2600</v>
      </c>
      <c r="I2" s="39"/>
      <c r="J2" s="22" t="s">
        <v>961</v>
      </c>
      <c r="K2" s="57"/>
    </row>
    <row r="3" spans="1:11" ht="78.75" customHeight="1">
      <c r="A3" s="25" t="s">
        <v>13</v>
      </c>
      <c r="B3" s="53" t="s">
        <v>962</v>
      </c>
      <c r="C3" s="20" t="s">
        <v>963</v>
      </c>
      <c r="D3" s="20" t="s">
        <v>964</v>
      </c>
      <c r="E3" s="20">
        <v>2</v>
      </c>
      <c r="F3" s="27" t="s">
        <v>965</v>
      </c>
      <c r="G3" s="23">
        <v>980</v>
      </c>
      <c r="H3" s="23">
        <v>1960</v>
      </c>
      <c r="I3" s="39"/>
      <c r="J3" s="22" t="s">
        <v>961</v>
      </c>
      <c r="K3" s="39"/>
    </row>
    <row r="4" spans="1:11" ht="78.75" customHeight="1">
      <c r="A4" s="20" t="s">
        <v>73</v>
      </c>
      <c r="B4" s="54" t="s">
        <v>966</v>
      </c>
      <c r="C4" s="20" t="s">
        <v>967</v>
      </c>
      <c r="D4" s="34" t="s">
        <v>968</v>
      </c>
      <c r="E4" s="20">
        <v>1</v>
      </c>
      <c r="F4" s="20" t="s">
        <v>969</v>
      </c>
      <c r="G4" s="35">
        <v>600</v>
      </c>
      <c r="H4" s="35">
        <v>600</v>
      </c>
      <c r="I4" s="39"/>
      <c r="J4" s="22" t="s">
        <v>961</v>
      </c>
      <c r="K4" s="39"/>
    </row>
    <row r="5" spans="1:11" ht="85.5" customHeight="1">
      <c r="A5" s="25" t="s">
        <v>13</v>
      </c>
      <c r="B5" s="54" t="s">
        <v>970</v>
      </c>
      <c r="C5" s="20" t="s">
        <v>971</v>
      </c>
      <c r="D5" s="20" t="s">
        <v>972</v>
      </c>
      <c r="E5" s="20">
        <v>2</v>
      </c>
      <c r="F5" s="22" t="s">
        <v>973</v>
      </c>
      <c r="G5" s="36" t="s">
        <v>974</v>
      </c>
      <c r="H5" s="24">
        <v>2280</v>
      </c>
      <c r="I5" s="39"/>
      <c r="J5" s="22" t="s">
        <v>961</v>
      </c>
      <c r="K5" s="57"/>
    </row>
    <row r="6" spans="1:11" ht="105.75" customHeight="1">
      <c r="A6" s="25" t="s">
        <v>13</v>
      </c>
      <c r="B6" s="54" t="s">
        <v>975</v>
      </c>
      <c r="C6" s="20" t="s">
        <v>976</v>
      </c>
      <c r="D6" s="20" t="s">
        <v>977</v>
      </c>
      <c r="E6" s="20">
        <v>5</v>
      </c>
      <c r="F6" s="27" t="s">
        <v>978</v>
      </c>
      <c r="G6" s="36" t="s">
        <v>979</v>
      </c>
      <c r="H6" s="24">
        <v>6000</v>
      </c>
      <c r="I6" s="39"/>
      <c r="J6" s="22" t="s">
        <v>961</v>
      </c>
      <c r="K6" s="39"/>
    </row>
    <row r="7" spans="1:11" ht="88.5" customHeight="1">
      <c r="A7" s="25" t="s">
        <v>13</v>
      </c>
      <c r="B7" s="53" t="s">
        <v>980</v>
      </c>
      <c r="C7" s="20" t="s">
        <v>981</v>
      </c>
      <c r="D7" s="20" t="s">
        <v>982</v>
      </c>
      <c r="E7" s="20">
        <v>1</v>
      </c>
      <c r="F7" s="20" t="s">
        <v>983</v>
      </c>
      <c r="G7" s="24">
        <v>1300</v>
      </c>
      <c r="H7" s="24">
        <v>1300</v>
      </c>
      <c r="I7" s="39"/>
      <c r="J7" s="22" t="s">
        <v>961</v>
      </c>
      <c r="K7" s="57"/>
    </row>
    <row r="8" spans="1:11" ht="80.25" customHeight="1">
      <c r="A8" s="25" t="s">
        <v>13</v>
      </c>
      <c r="B8" s="53" t="s">
        <v>984</v>
      </c>
      <c r="C8" s="20" t="s">
        <v>985</v>
      </c>
      <c r="D8" s="20" t="s">
        <v>986</v>
      </c>
      <c r="E8" s="20">
        <v>1</v>
      </c>
      <c r="F8" s="27" t="s">
        <v>987</v>
      </c>
      <c r="G8" s="24">
        <v>1300</v>
      </c>
      <c r="H8" s="24">
        <v>1300</v>
      </c>
      <c r="I8" s="39"/>
      <c r="J8" s="22" t="s">
        <v>961</v>
      </c>
      <c r="K8" s="57"/>
    </row>
    <row r="9" spans="1:11" ht="90.75" customHeight="1">
      <c r="A9" s="25" t="s">
        <v>13</v>
      </c>
      <c r="B9" s="53" t="s">
        <v>988</v>
      </c>
      <c r="C9" s="20" t="s">
        <v>989</v>
      </c>
      <c r="D9" s="20" t="s">
        <v>986</v>
      </c>
      <c r="E9" s="20">
        <v>2</v>
      </c>
      <c r="F9" s="31" t="s">
        <v>990</v>
      </c>
      <c r="G9" s="24">
        <v>1300</v>
      </c>
      <c r="H9" s="24">
        <v>2600</v>
      </c>
      <c r="I9" s="39"/>
      <c r="J9" s="22" t="s">
        <v>991</v>
      </c>
      <c r="K9" s="39"/>
    </row>
    <row r="10" spans="1:11" ht="101.25" customHeight="1">
      <c r="A10" s="25" t="s">
        <v>13</v>
      </c>
      <c r="B10" s="53" t="s">
        <v>992</v>
      </c>
      <c r="C10" s="20" t="s">
        <v>993</v>
      </c>
      <c r="D10" s="20" t="s">
        <v>994</v>
      </c>
      <c r="E10" s="20">
        <v>2</v>
      </c>
      <c r="F10" s="22" t="s">
        <v>995</v>
      </c>
      <c r="G10" s="24">
        <v>1300</v>
      </c>
      <c r="H10" s="24">
        <v>2600</v>
      </c>
      <c r="I10" s="39"/>
      <c r="J10" s="22" t="s">
        <v>996</v>
      </c>
      <c r="K10" s="57"/>
    </row>
    <row r="11" spans="1:11" ht="102.75" customHeight="1">
      <c r="A11" s="25" t="s">
        <v>13</v>
      </c>
      <c r="B11" s="53" t="s">
        <v>997</v>
      </c>
      <c r="C11" s="20" t="s">
        <v>998</v>
      </c>
      <c r="D11" s="20" t="s">
        <v>999</v>
      </c>
      <c r="E11" s="20">
        <v>3</v>
      </c>
      <c r="F11" s="20" t="s">
        <v>1000</v>
      </c>
      <c r="G11" s="24">
        <v>1300</v>
      </c>
      <c r="H11" s="24">
        <v>3900</v>
      </c>
      <c r="I11" s="39"/>
      <c r="J11" s="22" t="s">
        <v>996</v>
      </c>
      <c r="K11" s="57"/>
    </row>
    <row r="12" spans="1:11" ht="94.5" customHeight="1">
      <c r="A12" s="25" t="s">
        <v>13</v>
      </c>
      <c r="B12" s="55" t="s">
        <v>1001</v>
      </c>
      <c r="C12" s="20" t="s">
        <v>1002</v>
      </c>
      <c r="D12" s="20" t="s">
        <v>1003</v>
      </c>
      <c r="E12" s="20">
        <v>1</v>
      </c>
      <c r="F12" s="20" t="s">
        <v>1004</v>
      </c>
      <c r="G12" s="24">
        <v>1300</v>
      </c>
      <c r="H12" s="24">
        <v>1300</v>
      </c>
      <c r="I12" s="39"/>
      <c r="J12" s="22" t="s">
        <v>1005</v>
      </c>
      <c r="K12" s="57"/>
    </row>
    <row r="13" spans="1:11" ht="97.5" customHeight="1">
      <c r="A13" s="25" t="s">
        <v>13</v>
      </c>
      <c r="B13" s="55" t="s">
        <v>1006</v>
      </c>
      <c r="C13" s="20" t="s">
        <v>1007</v>
      </c>
      <c r="D13" s="20" t="s">
        <v>1008</v>
      </c>
      <c r="E13" s="20">
        <v>3</v>
      </c>
      <c r="F13" s="20" t="s">
        <v>1009</v>
      </c>
      <c r="G13" s="24">
        <v>1300</v>
      </c>
      <c r="H13" s="24">
        <v>3900</v>
      </c>
      <c r="I13" s="39"/>
      <c r="J13" s="22" t="s">
        <v>996</v>
      </c>
      <c r="K13" s="39"/>
    </row>
    <row r="14" spans="1:11" ht="99.75" customHeight="1">
      <c r="A14" s="25" t="s">
        <v>13</v>
      </c>
      <c r="B14" s="56" t="s">
        <v>1010</v>
      </c>
      <c r="C14" s="20" t="s">
        <v>1011</v>
      </c>
      <c r="D14" s="20" t="s">
        <v>1012</v>
      </c>
      <c r="E14" s="20">
        <v>3</v>
      </c>
      <c r="F14" s="27" t="s">
        <v>1013</v>
      </c>
      <c r="G14" s="36" t="s">
        <v>1014</v>
      </c>
      <c r="H14" s="24">
        <v>3260</v>
      </c>
      <c r="I14" s="39"/>
      <c r="J14" s="22" t="s">
        <v>996</v>
      </c>
      <c r="K14" s="27" t="s">
        <v>1015</v>
      </c>
    </row>
    <row r="15" spans="1:11" ht="90.75" customHeight="1">
      <c r="A15" s="25" t="s">
        <v>13</v>
      </c>
      <c r="B15" s="56" t="s">
        <v>1016</v>
      </c>
      <c r="C15" s="20" t="s">
        <v>1017</v>
      </c>
      <c r="D15" s="20" t="s">
        <v>1018</v>
      </c>
      <c r="E15" s="20">
        <v>1</v>
      </c>
      <c r="F15" s="27" t="s">
        <v>1019</v>
      </c>
      <c r="G15" s="24">
        <v>1300</v>
      </c>
      <c r="H15" s="24">
        <v>1300</v>
      </c>
      <c r="I15" s="39"/>
      <c r="J15" s="22" t="s">
        <v>996</v>
      </c>
      <c r="K15" s="39"/>
    </row>
    <row r="16" spans="1:11" ht="93" customHeight="1">
      <c r="A16" s="25" t="s">
        <v>13</v>
      </c>
      <c r="B16" s="56" t="s">
        <v>1020</v>
      </c>
      <c r="C16" s="20" t="s">
        <v>1021</v>
      </c>
      <c r="D16" s="20" t="s">
        <v>1022</v>
      </c>
      <c r="E16" s="20">
        <v>3</v>
      </c>
      <c r="F16" s="27" t="s">
        <v>1023</v>
      </c>
      <c r="G16" s="35">
        <v>980</v>
      </c>
      <c r="H16" s="24">
        <v>2940</v>
      </c>
      <c r="I16" s="39"/>
      <c r="J16" s="22" t="s">
        <v>1024</v>
      </c>
      <c r="K16" s="39"/>
    </row>
    <row r="17" spans="1:11" ht="93" customHeight="1">
      <c r="A17" s="25" t="s">
        <v>13</v>
      </c>
      <c r="B17" s="56" t="s">
        <v>1025</v>
      </c>
      <c r="C17" s="20" t="s">
        <v>1026</v>
      </c>
      <c r="D17" s="20" t="s">
        <v>1018</v>
      </c>
      <c r="E17" s="20">
        <v>1</v>
      </c>
      <c r="F17" s="27" t="s">
        <v>1027</v>
      </c>
      <c r="G17" s="24">
        <v>1300</v>
      </c>
      <c r="H17" s="24">
        <v>1300</v>
      </c>
      <c r="I17" s="39"/>
      <c r="J17" s="22" t="s">
        <v>1028</v>
      </c>
      <c r="K17" s="39"/>
    </row>
    <row r="18" spans="1:11" ht="25.5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</row>
    <row r="19" spans="1:11" ht="21.75" customHeight="1">
      <c r="A19" s="8" t="s">
        <v>165</v>
      </c>
      <c r="B19" s="10"/>
      <c r="C19" s="10"/>
      <c r="D19" s="10"/>
      <c r="E19" s="8">
        <f>SUM(E2:E18)</f>
        <v>33</v>
      </c>
      <c r="F19" s="10"/>
      <c r="G19" s="10"/>
      <c r="H19" s="48">
        <f>SUM(H2:H18)</f>
        <v>39140</v>
      </c>
      <c r="I19" s="16"/>
      <c r="J19" s="16"/>
      <c r="K19" s="16"/>
    </row>
  </sheetData>
  <autoFilter ref="A1:K17" xr:uid="{00000000-0009-0000-0000-000014000000}"/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Plan24" filterMode="1"/>
  <dimension ref="A1:K19"/>
  <sheetViews>
    <sheetView workbookViewId="0">
      <selection activeCell="E25" sqref="E25"/>
    </sheetView>
  </sheetViews>
  <sheetFormatPr defaultColWidth="9" defaultRowHeight="15"/>
  <cols>
    <col min="1" max="1" width="17.5703125" customWidth="1"/>
    <col min="2" max="2" width="21.5703125" customWidth="1"/>
    <col min="3" max="3" width="11.85546875" customWidth="1"/>
    <col min="4" max="4" width="27.28515625" customWidth="1"/>
    <col min="5" max="5" width="13.42578125" customWidth="1"/>
    <col min="6" max="6" width="50.7109375" customWidth="1"/>
    <col min="7" max="7" width="13" customWidth="1"/>
    <col min="8" max="8" width="12.28515625" customWidth="1"/>
    <col min="9" max="9" width="13" customWidth="1"/>
    <col min="10" max="10" width="42" customWidth="1"/>
    <col min="11" max="11" width="17.140625" customWidth="1"/>
  </cols>
  <sheetData>
    <row r="1" spans="1:11" ht="47.25" customHeight="1">
      <c r="A1" s="5" t="s">
        <v>0</v>
      </c>
      <c r="B1" s="7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954</v>
      </c>
      <c r="H1" s="7" t="s">
        <v>955</v>
      </c>
      <c r="I1" s="7" t="s">
        <v>10</v>
      </c>
      <c r="J1" s="14" t="s">
        <v>12</v>
      </c>
      <c r="K1" s="15" t="s">
        <v>956</v>
      </c>
    </row>
    <row r="2" spans="1:11" s="19" customFormat="1" ht="93" hidden="1" customHeight="1">
      <c r="A2" s="25" t="s">
        <v>13</v>
      </c>
      <c r="B2" s="28" t="s">
        <v>1029</v>
      </c>
      <c r="C2" s="20" t="s">
        <v>1030</v>
      </c>
      <c r="D2" s="20" t="s">
        <v>1031</v>
      </c>
      <c r="E2" s="20">
        <v>2</v>
      </c>
      <c r="F2" s="27" t="s">
        <v>960</v>
      </c>
      <c r="G2" s="24">
        <v>1300</v>
      </c>
      <c r="H2" s="24">
        <v>2600</v>
      </c>
      <c r="I2" s="39"/>
      <c r="J2" s="22" t="s">
        <v>1032</v>
      </c>
      <c r="K2" s="39"/>
    </row>
    <row r="3" spans="1:11" s="19" customFormat="1" ht="78.75" customHeight="1">
      <c r="A3" s="25" t="s">
        <v>13</v>
      </c>
      <c r="B3" s="28" t="s">
        <v>1033</v>
      </c>
      <c r="C3" s="20" t="s">
        <v>1034</v>
      </c>
      <c r="D3" s="20" t="s">
        <v>1035</v>
      </c>
      <c r="E3" s="20">
        <v>2</v>
      </c>
      <c r="F3" s="27" t="s">
        <v>965</v>
      </c>
      <c r="G3" s="23">
        <v>980</v>
      </c>
      <c r="H3" s="23">
        <v>1960</v>
      </c>
      <c r="I3" s="39"/>
      <c r="J3" s="22" t="s">
        <v>1032</v>
      </c>
      <c r="K3" s="39"/>
    </row>
    <row r="4" spans="1:11" s="19" customFormat="1" ht="78.75" hidden="1" customHeight="1">
      <c r="A4" s="20" t="s">
        <v>73</v>
      </c>
      <c r="B4" s="51" t="s">
        <v>966</v>
      </c>
      <c r="C4" s="20" t="s">
        <v>1036</v>
      </c>
      <c r="D4" s="34" t="s">
        <v>1037</v>
      </c>
      <c r="E4" s="20">
        <v>1</v>
      </c>
      <c r="F4" s="20" t="s">
        <v>969</v>
      </c>
      <c r="G4" s="35">
        <v>600</v>
      </c>
      <c r="H4" s="35">
        <v>600</v>
      </c>
      <c r="I4" s="39"/>
      <c r="J4" s="22" t="s">
        <v>1032</v>
      </c>
      <c r="K4" s="39"/>
    </row>
    <row r="5" spans="1:11" s="19" customFormat="1" ht="85.5" customHeight="1">
      <c r="A5" s="25" t="s">
        <v>13</v>
      </c>
      <c r="B5" s="51" t="s">
        <v>1038</v>
      </c>
      <c r="C5" s="20" t="s">
        <v>1039</v>
      </c>
      <c r="D5" s="20" t="s">
        <v>1040</v>
      </c>
      <c r="E5" s="20">
        <v>2</v>
      </c>
      <c r="F5" s="22" t="s">
        <v>973</v>
      </c>
      <c r="G5" s="36" t="s">
        <v>974</v>
      </c>
      <c r="H5" s="24">
        <v>2280</v>
      </c>
      <c r="I5" s="39"/>
      <c r="J5" s="22" t="s">
        <v>1032</v>
      </c>
      <c r="K5" s="39"/>
    </row>
    <row r="6" spans="1:11" s="19" customFormat="1" ht="105.75" hidden="1" customHeight="1">
      <c r="A6" s="25" t="s">
        <v>13</v>
      </c>
      <c r="B6" s="51" t="s">
        <v>1041</v>
      </c>
      <c r="C6" s="20" t="s">
        <v>1042</v>
      </c>
      <c r="D6" s="20" t="s">
        <v>1043</v>
      </c>
      <c r="E6" s="20">
        <v>5</v>
      </c>
      <c r="F6" s="27" t="s">
        <v>978</v>
      </c>
      <c r="G6" s="36" t="s">
        <v>979</v>
      </c>
      <c r="H6" s="24">
        <v>6000</v>
      </c>
      <c r="I6" s="39"/>
      <c r="J6" s="22" t="s">
        <v>1032</v>
      </c>
      <c r="K6" s="39"/>
    </row>
    <row r="7" spans="1:11" s="19" customFormat="1" ht="88.5" hidden="1" customHeight="1">
      <c r="A7" s="25" t="s">
        <v>13</v>
      </c>
      <c r="B7" s="28" t="s">
        <v>980</v>
      </c>
      <c r="C7" s="20" t="s">
        <v>1044</v>
      </c>
      <c r="D7" s="20" t="s">
        <v>1045</v>
      </c>
      <c r="E7" s="20">
        <v>1</v>
      </c>
      <c r="F7" s="20" t="s">
        <v>983</v>
      </c>
      <c r="G7" s="24">
        <v>1300</v>
      </c>
      <c r="H7" s="24">
        <v>1300</v>
      </c>
      <c r="I7" s="39"/>
      <c r="J7" s="22" t="s">
        <v>1032</v>
      </c>
      <c r="K7" s="39"/>
    </row>
    <row r="8" spans="1:11" s="19" customFormat="1" ht="80.25" hidden="1" customHeight="1">
      <c r="A8" s="25" t="s">
        <v>13</v>
      </c>
      <c r="B8" s="28" t="s">
        <v>1046</v>
      </c>
      <c r="C8" s="20" t="s">
        <v>1047</v>
      </c>
      <c r="D8" s="20" t="s">
        <v>1048</v>
      </c>
      <c r="E8" s="20">
        <v>1</v>
      </c>
      <c r="F8" s="27" t="s">
        <v>987</v>
      </c>
      <c r="G8" s="24">
        <v>1300</v>
      </c>
      <c r="H8" s="24">
        <v>1300</v>
      </c>
      <c r="I8" s="39"/>
      <c r="J8" s="22" t="s">
        <v>1032</v>
      </c>
      <c r="K8" s="39"/>
    </row>
    <row r="9" spans="1:11" s="19" customFormat="1" ht="90.75" hidden="1" customHeight="1">
      <c r="A9" s="25" t="s">
        <v>13</v>
      </c>
      <c r="B9" s="28" t="s">
        <v>1049</v>
      </c>
      <c r="C9" s="20">
        <v>95</v>
      </c>
      <c r="D9" s="20" t="s">
        <v>1048</v>
      </c>
      <c r="E9" s="20">
        <v>2</v>
      </c>
      <c r="F9" s="31" t="s">
        <v>990</v>
      </c>
      <c r="G9" s="24">
        <v>1300</v>
      </c>
      <c r="H9" s="24">
        <v>2600</v>
      </c>
      <c r="I9" s="39"/>
      <c r="J9" s="22" t="s">
        <v>1050</v>
      </c>
      <c r="K9" s="39"/>
    </row>
    <row r="10" spans="1:11" s="19" customFormat="1" ht="111.75" hidden="1" customHeight="1">
      <c r="A10" s="25" t="s">
        <v>13</v>
      </c>
      <c r="B10" s="28" t="s">
        <v>1051</v>
      </c>
      <c r="C10" s="20" t="s">
        <v>1052</v>
      </c>
      <c r="D10" s="20" t="s">
        <v>1053</v>
      </c>
      <c r="E10" s="20">
        <v>3</v>
      </c>
      <c r="F10" s="22" t="s">
        <v>1054</v>
      </c>
      <c r="G10" s="24">
        <v>1300</v>
      </c>
      <c r="H10" s="24">
        <v>2600</v>
      </c>
      <c r="I10" s="39"/>
      <c r="J10" s="22" t="s">
        <v>1055</v>
      </c>
      <c r="K10" s="39"/>
    </row>
    <row r="11" spans="1:11" s="19" customFormat="1" ht="102.75" hidden="1" customHeight="1">
      <c r="A11" s="25" t="s">
        <v>13</v>
      </c>
      <c r="B11" s="28" t="s">
        <v>997</v>
      </c>
      <c r="C11" s="20" t="s">
        <v>1056</v>
      </c>
      <c r="D11" s="20" t="s">
        <v>1057</v>
      </c>
      <c r="E11" s="20">
        <v>3</v>
      </c>
      <c r="F11" s="20" t="s">
        <v>1000</v>
      </c>
      <c r="G11" s="24">
        <v>1300</v>
      </c>
      <c r="H11" s="24">
        <v>3900</v>
      </c>
      <c r="I11" s="39"/>
      <c r="J11" s="22" t="s">
        <v>1055</v>
      </c>
      <c r="K11" s="39"/>
    </row>
    <row r="12" spans="1:11" s="19" customFormat="1" ht="94.5" hidden="1" customHeight="1">
      <c r="A12" s="25" t="s">
        <v>13</v>
      </c>
      <c r="B12" s="52" t="s">
        <v>1001</v>
      </c>
      <c r="C12" s="20" t="s">
        <v>1058</v>
      </c>
      <c r="D12" s="20" t="s">
        <v>1059</v>
      </c>
      <c r="E12" s="20">
        <v>1</v>
      </c>
      <c r="F12" s="20" t="s">
        <v>1004</v>
      </c>
      <c r="G12" s="24">
        <v>1300</v>
      </c>
      <c r="H12" s="24">
        <v>1300</v>
      </c>
      <c r="I12" s="39"/>
      <c r="J12" s="22" t="s">
        <v>1060</v>
      </c>
      <c r="K12" s="39"/>
    </row>
    <row r="13" spans="1:11" s="19" customFormat="1" ht="97.5" hidden="1" customHeight="1">
      <c r="A13" s="25" t="s">
        <v>13</v>
      </c>
      <c r="B13" s="52" t="s">
        <v>1006</v>
      </c>
      <c r="C13" s="20" t="s">
        <v>1061</v>
      </c>
      <c r="D13" s="20" t="s">
        <v>1062</v>
      </c>
      <c r="E13" s="20">
        <v>3</v>
      </c>
      <c r="F13" s="20" t="s">
        <v>1009</v>
      </c>
      <c r="G13" s="24">
        <v>1300</v>
      </c>
      <c r="H13" s="24">
        <v>3900</v>
      </c>
      <c r="I13" s="39"/>
      <c r="J13" s="22" t="s">
        <v>1055</v>
      </c>
      <c r="K13" s="39"/>
    </row>
    <row r="14" spans="1:11" s="19" customFormat="1" ht="99.75" customHeight="1">
      <c r="A14" s="25" t="s">
        <v>13</v>
      </c>
      <c r="B14" s="21" t="s">
        <v>1063</v>
      </c>
      <c r="C14" s="20" t="s">
        <v>1064</v>
      </c>
      <c r="D14" s="20" t="s">
        <v>1065</v>
      </c>
      <c r="E14" s="20">
        <v>3</v>
      </c>
      <c r="F14" s="27" t="s">
        <v>1013</v>
      </c>
      <c r="G14" s="36" t="s">
        <v>1014</v>
      </c>
      <c r="H14" s="24">
        <v>3260</v>
      </c>
      <c r="I14" s="39"/>
      <c r="J14" s="22" t="s">
        <v>1055</v>
      </c>
      <c r="K14" s="27" t="s">
        <v>1015</v>
      </c>
    </row>
    <row r="15" spans="1:11" s="19" customFormat="1" ht="90.75" hidden="1" customHeight="1">
      <c r="A15" s="25" t="s">
        <v>13</v>
      </c>
      <c r="B15" s="21" t="s">
        <v>1016</v>
      </c>
      <c r="C15" s="20">
        <v>99</v>
      </c>
      <c r="D15" s="20" t="s">
        <v>1066</v>
      </c>
      <c r="E15" s="20">
        <v>1</v>
      </c>
      <c r="F15" s="27" t="s">
        <v>1019</v>
      </c>
      <c r="G15" s="24">
        <v>1300</v>
      </c>
      <c r="H15" s="24">
        <v>1300</v>
      </c>
      <c r="I15" s="39"/>
      <c r="J15" s="22" t="s">
        <v>1055</v>
      </c>
      <c r="K15" s="39"/>
    </row>
    <row r="16" spans="1:11" s="19" customFormat="1" ht="93" hidden="1" customHeight="1">
      <c r="A16" s="25" t="s">
        <v>13</v>
      </c>
      <c r="B16" s="21" t="s">
        <v>1020</v>
      </c>
      <c r="C16" s="20">
        <v>97</v>
      </c>
      <c r="D16" s="20" t="s">
        <v>1067</v>
      </c>
      <c r="E16" s="20">
        <v>3</v>
      </c>
      <c r="F16" s="27" t="s">
        <v>1023</v>
      </c>
      <c r="G16" s="35">
        <v>980</v>
      </c>
      <c r="H16" s="24">
        <v>2940</v>
      </c>
      <c r="I16" s="39"/>
      <c r="J16" s="22" t="s">
        <v>1068</v>
      </c>
      <c r="K16" s="39"/>
    </row>
    <row r="17" spans="1:11" s="19" customFormat="1" ht="93" hidden="1" customHeight="1">
      <c r="A17" s="25" t="s">
        <v>13</v>
      </c>
      <c r="B17" s="21" t="s">
        <v>1025</v>
      </c>
      <c r="C17" s="20">
        <v>98</v>
      </c>
      <c r="D17" s="20" t="s">
        <v>1066</v>
      </c>
      <c r="E17" s="20">
        <v>1</v>
      </c>
      <c r="F17" s="27" t="s">
        <v>1027</v>
      </c>
      <c r="G17" s="24">
        <v>1300</v>
      </c>
      <c r="H17" s="24">
        <v>1300</v>
      </c>
      <c r="I17" s="39"/>
      <c r="J17" s="22" t="s">
        <v>1069</v>
      </c>
      <c r="K17" s="39"/>
    </row>
    <row r="18" spans="1:11" ht="25.5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</row>
    <row r="19" spans="1:11" ht="21.75" customHeight="1">
      <c r="A19" s="8" t="s">
        <v>165</v>
      </c>
      <c r="B19" s="10"/>
      <c r="C19" s="10"/>
      <c r="D19" s="10"/>
      <c r="E19" s="8">
        <f>SUM(E2:E18)</f>
        <v>34</v>
      </c>
      <c r="F19" s="10"/>
      <c r="G19" s="10"/>
      <c r="H19" s="48">
        <f>SUM(H2:H18)</f>
        <v>39140</v>
      </c>
      <c r="I19" s="16"/>
      <c r="J19" s="16"/>
      <c r="K19" s="16"/>
    </row>
  </sheetData>
  <autoFilter ref="A1:K17" xr:uid="{00000000-0009-0000-0000-000015000000}">
    <filterColumn colId="5">
      <filters>
        <filter val="01-RUA MULUNGU, 758, ELDORADO.                                                   02-RUA GAXUPÉ, B: PARQUE SÃO JOÃO."/>
        <filter val="1- RUA JOÃO DA MATA , B: COLONIAL, 107 A 220.                                     2- Av João César de Oliveira Novo Eldorado._x000a_Encima do viaduto (próximo ao hospital municipal)                         3- RUA EUCALIPITO, 921, B: ARVOREDO."/>
        <filter val="1- RUA PEROBAS, BAIRRO: PERÓBAS, CONTAGEM.                                         2- RUA BUGANVILLE, 1667, ELDORADO."/>
      </filters>
    </filterColumn>
  </autoFilter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Plan22"/>
  <dimension ref="A1:K19"/>
  <sheetViews>
    <sheetView workbookViewId="0">
      <selection activeCell="F39" sqref="F39"/>
    </sheetView>
  </sheetViews>
  <sheetFormatPr defaultColWidth="9" defaultRowHeight="15"/>
  <cols>
    <col min="1" max="1" width="17.5703125" customWidth="1"/>
    <col min="2" max="2" width="21.5703125" customWidth="1"/>
    <col min="3" max="3" width="11.85546875" customWidth="1"/>
    <col min="4" max="4" width="27.28515625" customWidth="1"/>
    <col min="5" max="5" width="13.42578125" customWidth="1"/>
    <col min="6" max="6" width="50.7109375" customWidth="1"/>
    <col min="7" max="7" width="13" customWidth="1"/>
    <col min="8" max="8" width="12.28515625" customWidth="1"/>
    <col min="9" max="9" width="13" customWidth="1"/>
    <col min="10" max="10" width="42" customWidth="1"/>
    <col min="11" max="11" width="17.140625" customWidth="1"/>
  </cols>
  <sheetData>
    <row r="1" spans="1:11" ht="47.25" customHeight="1">
      <c r="A1" s="5" t="s">
        <v>1070</v>
      </c>
      <c r="B1" s="7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954</v>
      </c>
      <c r="H1" s="7" t="s">
        <v>955</v>
      </c>
      <c r="I1" s="7" t="s">
        <v>10</v>
      </c>
      <c r="J1" s="14" t="s">
        <v>12</v>
      </c>
      <c r="K1" s="15" t="s">
        <v>956</v>
      </c>
    </row>
    <row r="2" spans="1:11" s="19" customFormat="1" ht="78.75" customHeight="1">
      <c r="A2" s="25" t="s">
        <v>13</v>
      </c>
      <c r="B2" s="28"/>
      <c r="C2" s="20">
        <v>185</v>
      </c>
      <c r="D2" s="20" t="s">
        <v>1071</v>
      </c>
      <c r="E2" s="20">
        <v>1</v>
      </c>
      <c r="F2" s="27" t="s">
        <v>1072</v>
      </c>
      <c r="G2" s="23">
        <v>4500</v>
      </c>
      <c r="H2" s="23">
        <v>4500</v>
      </c>
      <c r="I2" s="39"/>
      <c r="J2" s="22" t="s">
        <v>1032</v>
      </c>
      <c r="K2" s="39"/>
    </row>
    <row r="3" spans="1:11" s="19" customFormat="1" ht="93" customHeight="1">
      <c r="A3" s="25" t="s">
        <v>13</v>
      </c>
      <c r="B3" s="21" t="s">
        <v>1073</v>
      </c>
      <c r="C3" s="20" t="s">
        <v>1074</v>
      </c>
      <c r="D3" s="20" t="s">
        <v>1075</v>
      </c>
      <c r="E3" s="20">
        <v>1</v>
      </c>
      <c r="F3" s="27" t="s">
        <v>1076</v>
      </c>
      <c r="G3" s="24">
        <v>1300</v>
      </c>
      <c r="H3" s="24">
        <v>1300</v>
      </c>
      <c r="I3" s="39"/>
      <c r="J3" s="22" t="s">
        <v>1032</v>
      </c>
      <c r="K3" s="39"/>
    </row>
    <row r="4" spans="1:11" s="19" customFormat="1" ht="78.75" customHeight="1">
      <c r="A4" s="25" t="s">
        <v>13</v>
      </c>
      <c r="B4" s="28" t="s">
        <v>1077</v>
      </c>
      <c r="C4" s="20">
        <v>191</v>
      </c>
      <c r="D4" s="20" t="s">
        <v>1078</v>
      </c>
      <c r="E4" s="20">
        <v>1</v>
      </c>
      <c r="F4" s="27" t="s">
        <v>1079</v>
      </c>
      <c r="G4" s="23">
        <v>980</v>
      </c>
      <c r="H4" s="23">
        <v>980</v>
      </c>
      <c r="I4" s="39"/>
      <c r="J4" s="22" t="s">
        <v>1032</v>
      </c>
      <c r="K4" s="39"/>
    </row>
    <row r="5" spans="1:11" s="19" customFormat="1" ht="78.75" customHeight="1">
      <c r="A5" s="20" t="s">
        <v>73</v>
      </c>
      <c r="B5" s="20" t="s">
        <v>1080</v>
      </c>
      <c r="C5" s="20">
        <v>192</v>
      </c>
      <c r="D5" s="34" t="s">
        <v>1081</v>
      </c>
      <c r="E5" s="20">
        <v>1</v>
      </c>
      <c r="F5" s="20" t="s">
        <v>969</v>
      </c>
      <c r="G5" s="35">
        <v>600</v>
      </c>
      <c r="H5" s="35">
        <v>600</v>
      </c>
      <c r="I5" s="39"/>
      <c r="J5" s="22" t="s">
        <v>1032</v>
      </c>
      <c r="K5" s="39"/>
    </row>
    <row r="6" spans="1:11" s="19" customFormat="1" ht="85.5" customHeight="1">
      <c r="A6" s="20" t="s">
        <v>13</v>
      </c>
      <c r="B6" s="20" t="s">
        <v>1082</v>
      </c>
      <c r="C6" s="20">
        <v>193</v>
      </c>
      <c r="D6" s="20" t="s">
        <v>1083</v>
      </c>
      <c r="E6" s="20">
        <v>1</v>
      </c>
      <c r="F6" s="22" t="s">
        <v>1084</v>
      </c>
      <c r="G6" s="23">
        <v>1300</v>
      </c>
      <c r="H6" s="24">
        <v>1300</v>
      </c>
      <c r="I6" s="39"/>
      <c r="J6" s="22" t="s">
        <v>1032</v>
      </c>
      <c r="K6" s="39"/>
    </row>
    <row r="7" spans="1:11" s="19" customFormat="1" ht="105.75" customHeight="1">
      <c r="A7" s="20" t="s">
        <v>13</v>
      </c>
      <c r="B7" s="20" t="s">
        <v>1085</v>
      </c>
      <c r="C7" s="20" t="s">
        <v>1086</v>
      </c>
      <c r="D7" s="20" t="s">
        <v>1087</v>
      </c>
      <c r="E7" s="20">
        <v>5</v>
      </c>
      <c r="F7" s="27" t="s">
        <v>978</v>
      </c>
      <c r="G7" s="36" t="s">
        <v>979</v>
      </c>
      <c r="H7" s="24">
        <v>6000</v>
      </c>
      <c r="I7" s="39"/>
      <c r="J7" s="22" t="s">
        <v>1032</v>
      </c>
      <c r="K7" s="39"/>
    </row>
    <row r="8" spans="1:11" s="19" customFormat="1" ht="88.5" customHeight="1">
      <c r="A8" s="25" t="s">
        <v>13</v>
      </c>
      <c r="B8" s="28" t="s">
        <v>1088</v>
      </c>
      <c r="C8" s="20">
        <v>199</v>
      </c>
      <c r="D8" s="20" t="s">
        <v>1089</v>
      </c>
      <c r="E8" s="20">
        <v>1</v>
      </c>
      <c r="F8" s="20" t="s">
        <v>983</v>
      </c>
      <c r="G8" s="24">
        <v>1300</v>
      </c>
      <c r="H8" s="24">
        <v>1300</v>
      </c>
      <c r="I8" s="39"/>
      <c r="J8" s="22" t="s">
        <v>1032</v>
      </c>
      <c r="K8" s="39"/>
    </row>
    <row r="9" spans="1:11" s="19" customFormat="1" ht="80.25" customHeight="1">
      <c r="A9" s="25" t="s">
        <v>13</v>
      </c>
      <c r="B9" s="21" t="s">
        <v>1046</v>
      </c>
      <c r="C9" s="20">
        <v>200</v>
      </c>
      <c r="D9" s="20" t="s">
        <v>1090</v>
      </c>
      <c r="E9" s="20">
        <v>1</v>
      </c>
      <c r="F9" s="27" t="s">
        <v>987</v>
      </c>
      <c r="G9" s="24">
        <v>1300</v>
      </c>
      <c r="H9" s="24">
        <v>1300</v>
      </c>
      <c r="I9" s="39"/>
      <c r="J9" s="22" t="s">
        <v>1032</v>
      </c>
      <c r="K9" s="39"/>
    </row>
    <row r="10" spans="1:11" s="19" customFormat="1" ht="90.75" customHeight="1">
      <c r="A10" s="25" t="s">
        <v>13</v>
      </c>
      <c r="B10" s="21" t="s">
        <v>1091</v>
      </c>
      <c r="C10" s="20">
        <v>201</v>
      </c>
      <c r="D10" s="20" t="s">
        <v>1090</v>
      </c>
      <c r="E10" s="20">
        <v>2</v>
      </c>
      <c r="F10" s="31" t="s">
        <v>990</v>
      </c>
      <c r="G10" s="24">
        <v>1300</v>
      </c>
      <c r="H10" s="24">
        <v>2600</v>
      </c>
      <c r="I10" s="39"/>
      <c r="J10" s="22" t="s">
        <v>1050</v>
      </c>
      <c r="K10" s="39"/>
    </row>
    <row r="11" spans="1:11" s="19" customFormat="1" ht="111.75" customHeight="1">
      <c r="A11" s="20" t="s">
        <v>13</v>
      </c>
      <c r="B11" s="21" t="s">
        <v>1092</v>
      </c>
      <c r="C11" s="20" t="s">
        <v>1093</v>
      </c>
      <c r="D11" s="20" t="s">
        <v>1094</v>
      </c>
      <c r="E11" s="20">
        <v>2</v>
      </c>
      <c r="F11" s="22" t="s">
        <v>1095</v>
      </c>
      <c r="G11" s="24">
        <v>1300</v>
      </c>
      <c r="H11" s="24">
        <v>2600</v>
      </c>
      <c r="I11" s="39"/>
      <c r="J11" s="22" t="s">
        <v>1055</v>
      </c>
      <c r="K11" s="39"/>
    </row>
    <row r="12" spans="1:11" s="19" customFormat="1" ht="102.75" customHeight="1">
      <c r="A12" s="25" t="s">
        <v>13</v>
      </c>
      <c r="B12" s="21" t="s">
        <v>1096</v>
      </c>
      <c r="C12" s="20" t="s">
        <v>1097</v>
      </c>
      <c r="D12" s="20" t="s">
        <v>1098</v>
      </c>
      <c r="E12" s="20">
        <v>1</v>
      </c>
      <c r="F12" s="20" t="s">
        <v>1099</v>
      </c>
      <c r="G12" s="24">
        <v>1300</v>
      </c>
      <c r="H12" s="24">
        <v>1300</v>
      </c>
      <c r="I12" s="39"/>
      <c r="J12" s="22" t="s">
        <v>1055</v>
      </c>
      <c r="K12" s="39"/>
    </row>
    <row r="13" spans="1:11" s="19" customFormat="1" ht="94.5" customHeight="1">
      <c r="A13" s="20" t="s">
        <v>13</v>
      </c>
      <c r="B13" s="37" t="s">
        <v>1100</v>
      </c>
      <c r="C13" s="20">
        <v>205</v>
      </c>
      <c r="D13" s="20" t="s">
        <v>1101</v>
      </c>
      <c r="E13" s="20">
        <v>1</v>
      </c>
      <c r="F13" s="20" t="s">
        <v>1004</v>
      </c>
      <c r="G13" s="24">
        <v>1300</v>
      </c>
      <c r="H13" s="24">
        <v>1300</v>
      </c>
      <c r="I13" s="39"/>
      <c r="J13" s="22" t="s">
        <v>1060</v>
      </c>
      <c r="K13" s="39"/>
    </row>
    <row r="14" spans="1:11" s="19" customFormat="1" ht="97.5" customHeight="1">
      <c r="A14" s="20" t="s">
        <v>13</v>
      </c>
      <c r="B14" s="37" t="s">
        <v>1102</v>
      </c>
      <c r="C14" s="20" t="s">
        <v>1103</v>
      </c>
      <c r="D14" s="20" t="s">
        <v>1104</v>
      </c>
      <c r="E14" s="20">
        <v>3</v>
      </c>
      <c r="F14" s="20" t="s">
        <v>1009</v>
      </c>
      <c r="G14" s="24">
        <v>1300</v>
      </c>
      <c r="H14" s="24">
        <v>3900</v>
      </c>
      <c r="I14" s="39"/>
      <c r="J14" s="22" t="s">
        <v>1055</v>
      </c>
      <c r="K14" s="39"/>
    </row>
    <row r="15" spans="1:11" s="19" customFormat="1" ht="99.75" customHeight="1">
      <c r="A15" s="20" t="s">
        <v>13</v>
      </c>
      <c r="B15" s="21" t="s">
        <v>1105</v>
      </c>
      <c r="C15" s="20" t="s">
        <v>1106</v>
      </c>
      <c r="D15" s="20" t="s">
        <v>1107</v>
      </c>
      <c r="E15" s="20">
        <v>1</v>
      </c>
      <c r="F15" s="27" t="s">
        <v>1108</v>
      </c>
      <c r="G15" s="23">
        <v>1300</v>
      </c>
      <c r="H15" s="24">
        <v>1300</v>
      </c>
      <c r="I15" s="39"/>
      <c r="J15" s="22" t="s">
        <v>1055</v>
      </c>
      <c r="K15" s="27" t="s">
        <v>1015</v>
      </c>
    </row>
    <row r="16" spans="1:11" s="19" customFormat="1" ht="93" customHeight="1">
      <c r="A16" s="20" t="s">
        <v>13</v>
      </c>
      <c r="B16" s="21" t="s">
        <v>1109</v>
      </c>
      <c r="C16" s="20">
        <v>209</v>
      </c>
      <c r="D16" s="20" t="s">
        <v>1110</v>
      </c>
      <c r="E16" s="20">
        <v>3</v>
      </c>
      <c r="F16" s="27" t="s">
        <v>1023</v>
      </c>
      <c r="G16" s="35">
        <v>980</v>
      </c>
      <c r="H16" s="24">
        <v>2940</v>
      </c>
      <c r="I16" s="39"/>
      <c r="J16" s="22" t="s">
        <v>1068</v>
      </c>
      <c r="K16" s="39"/>
    </row>
    <row r="17" spans="1:11" s="19" customFormat="1" ht="93" customHeight="1">
      <c r="A17" s="20" t="s">
        <v>13</v>
      </c>
      <c r="B17" s="21" t="s">
        <v>1111</v>
      </c>
      <c r="C17" s="20">
        <v>210</v>
      </c>
      <c r="D17" s="20" t="s">
        <v>1112</v>
      </c>
      <c r="E17" s="20">
        <v>1</v>
      </c>
      <c r="F17" s="27" t="s">
        <v>1027</v>
      </c>
      <c r="G17" s="24">
        <v>1300</v>
      </c>
      <c r="H17" s="24">
        <v>1300</v>
      </c>
      <c r="I17" s="39"/>
      <c r="J17" s="22" t="s">
        <v>1069</v>
      </c>
      <c r="K17" s="39"/>
    </row>
    <row r="18" spans="1:11" ht="25.5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</row>
    <row r="19" spans="1:11" ht="21.75" customHeight="1">
      <c r="A19" s="8" t="s">
        <v>165</v>
      </c>
      <c r="B19" s="10"/>
      <c r="C19" s="10"/>
      <c r="D19" s="10"/>
      <c r="E19" s="8">
        <f>SUM(E3:E18)</f>
        <v>25</v>
      </c>
      <c r="F19" s="10"/>
      <c r="G19" s="10"/>
      <c r="H19" s="48">
        <f>SUM(H3:H18)</f>
        <v>30020</v>
      </c>
      <c r="I19" s="16"/>
      <c r="J19" s="16"/>
      <c r="K19" s="16"/>
    </row>
  </sheetData>
  <autoFilter ref="A1:K17" xr:uid="{00000000-0009-0000-0000-000016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Planilha1"/>
  <dimension ref="A1:L20"/>
  <sheetViews>
    <sheetView workbookViewId="0">
      <selection activeCell="D7" sqref="D7"/>
    </sheetView>
  </sheetViews>
  <sheetFormatPr defaultColWidth="9.140625" defaultRowHeight="15"/>
  <cols>
    <col min="1" max="1" width="23.28515625" style="1" customWidth="1"/>
    <col min="2" max="2" width="14.85546875" style="1" customWidth="1"/>
    <col min="3" max="3" width="12" style="1" customWidth="1"/>
    <col min="4" max="4" width="27.85546875" style="1" customWidth="1"/>
    <col min="5" max="5" width="9.140625" style="1"/>
    <col min="6" max="6" width="31.28515625" style="1" customWidth="1"/>
    <col min="7" max="7" width="17.7109375" style="1" customWidth="1"/>
    <col min="8" max="8" width="14.5703125" style="1" customWidth="1"/>
    <col min="9" max="9" width="14.85546875" style="1" customWidth="1"/>
    <col min="10" max="10" width="25.7109375" style="1" customWidth="1"/>
    <col min="11" max="11" width="33.5703125" style="1" customWidth="1"/>
    <col min="12" max="12" width="51.28515625" style="1" customWidth="1"/>
    <col min="13" max="16384" width="9.140625" style="1"/>
  </cols>
  <sheetData>
    <row r="1" spans="1:11" s="43" customFormat="1" ht="30">
      <c r="A1" s="44" t="s">
        <v>1070</v>
      </c>
      <c r="B1" s="45" t="s">
        <v>1</v>
      </c>
      <c r="C1" s="44" t="s">
        <v>2</v>
      </c>
      <c r="D1" s="45" t="s">
        <v>3</v>
      </c>
      <c r="E1" s="45" t="s">
        <v>4</v>
      </c>
      <c r="F1" s="45" t="s">
        <v>5</v>
      </c>
      <c r="G1" s="45" t="s">
        <v>954</v>
      </c>
      <c r="H1" s="45" t="s">
        <v>955</v>
      </c>
      <c r="I1" s="45" t="s">
        <v>10</v>
      </c>
      <c r="J1" s="49" t="s">
        <v>12</v>
      </c>
      <c r="K1" s="50" t="s">
        <v>956</v>
      </c>
    </row>
    <row r="2" spans="1:11" s="19" customFormat="1" ht="75.75" customHeight="1">
      <c r="A2" s="25" t="s">
        <v>13</v>
      </c>
      <c r="B2" s="21" t="s">
        <v>1113</v>
      </c>
      <c r="C2" s="20" t="s">
        <v>1114</v>
      </c>
      <c r="D2" s="20" t="s">
        <v>1115</v>
      </c>
      <c r="E2" s="20">
        <v>2</v>
      </c>
      <c r="F2" s="27" t="s">
        <v>1116</v>
      </c>
      <c r="G2" s="32" t="s">
        <v>1117</v>
      </c>
      <c r="H2" s="24">
        <v>2600</v>
      </c>
      <c r="I2" s="39"/>
      <c r="J2" s="22" t="s">
        <v>1032</v>
      </c>
      <c r="K2" s="39"/>
    </row>
    <row r="3" spans="1:11" s="19" customFormat="1" ht="105.75" customHeight="1">
      <c r="A3" s="25" t="s">
        <v>13</v>
      </c>
      <c r="B3" s="28" t="s">
        <v>1118</v>
      </c>
      <c r="C3" s="20">
        <v>246</v>
      </c>
      <c r="D3" s="20" t="s">
        <v>1119</v>
      </c>
      <c r="E3" s="20">
        <v>1</v>
      </c>
      <c r="F3" s="27" t="s">
        <v>1079</v>
      </c>
      <c r="G3" s="23">
        <v>980</v>
      </c>
      <c r="H3" s="23">
        <v>980</v>
      </c>
      <c r="I3" s="39"/>
      <c r="J3" s="22" t="s">
        <v>1032</v>
      </c>
      <c r="K3" s="39"/>
    </row>
    <row r="4" spans="1:11" s="19" customFormat="1" ht="118.5" customHeight="1">
      <c r="A4" s="20" t="s">
        <v>73</v>
      </c>
      <c r="B4" s="20" t="s">
        <v>1080</v>
      </c>
      <c r="C4" s="20">
        <v>247</v>
      </c>
      <c r="D4" s="34" t="s">
        <v>1120</v>
      </c>
      <c r="E4" s="20">
        <v>1</v>
      </c>
      <c r="F4" s="20" t="s">
        <v>969</v>
      </c>
      <c r="G4" s="35">
        <v>600</v>
      </c>
      <c r="H4" s="35">
        <v>600</v>
      </c>
      <c r="I4" s="39"/>
      <c r="J4" s="22" t="s">
        <v>1032</v>
      </c>
      <c r="K4" s="39"/>
    </row>
    <row r="5" spans="1:11" s="19" customFormat="1" ht="81" customHeight="1">
      <c r="A5" s="20" t="s">
        <v>13</v>
      </c>
      <c r="B5" s="20" t="s">
        <v>1082</v>
      </c>
      <c r="C5" s="20">
        <v>248</v>
      </c>
      <c r="D5" s="20" t="s">
        <v>1121</v>
      </c>
      <c r="E5" s="20">
        <v>1</v>
      </c>
      <c r="F5" s="22" t="s">
        <v>1084</v>
      </c>
      <c r="G5" s="23">
        <v>1300</v>
      </c>
      <c r="H5" s="24">
        <v>1300</v>
      </c>
      <c r="I5" s="39"/>
      <c r="J5" s="22" t="s">
        <v>1032</v>
      </c>
      <c r="K5" s="39"/>
    </row>
    <row r="6" spans="1:11" s="19" customFormat="1" ht="178.5" customHeight="1">
      <c r="A6" s="20" t="s">
        <v>13</v>
      </c>
      <c r="B6" s="20" t="s">
        <v>1122</v>
      </c>
      <c r="C6" s="20" t="s">
        <v>1123</v>
      </c>
      <c r="D6" s="20" t="s">
        <v>1124</v>
      </c>
      <c r="E6" s="20">
        <v>4</v>
      </c>
      <c r="F6" s="27" t="s">
        <v>1125</v>
      </c>
      <c r="G6" s="36" t="s">
        <v>1126</v>
      </c>
      <c r="H6" s="24">
        <v>4700</v>
      </c>
      <c r="I6" s="39"/>
      <c r="J6" s="22" t="s">
        <v>1032</v>
      </c>
      <c r="K6" s="39"/>
    </row>
    <row r="7" spans="1:11" s="19" customFormat="1" ht="126" customHeight="1">
      <c r="A7" s="25" t="s">
        <v>13</v>
      </c>
      <c r="B7" s="21" t="s">
        <v>1127</v>
      </c>
      <c r="C7" s="20" t="s">
        <v>1128</v>
      </c>
      <c r="D7" s="20" t="s">
        <v>1129</v>
      </c>
      <c r="E7" s="20">
        <v>6</v>
      </c>
      <c r="F7" s="20" t="s">
        <v>1099</v>
      </c>
      <c r="G7" s="24">
        <v>1300</v>
      </c>
      <c r="H7" s="24">
        <v>1300</v>
      </c>
      <c r="I7" s="39"/>
      <c r="J7" s="22" t="s">
        <v>1055</v>
      </c>
      <c r="K7" s="39"/>
    </row>
    <row r="8" spans="1:11" s="19" customFormat="1" ht="63" customHeight="1">
      <c r="A8" s="20" t="s">
        <v>13</v>
      </c>
      <c r="B8" s="37" t="s">
        <v>1100</v>
      </c>
      <c r="C8" s="20">
        <v>255</v>
      </c>
      <c r="D8" s="20" t="s">
        <v>1130</v>
      </c>
      <c r="E8" s="20">
        <v>1</v>
      </c>
      <c r="F8" s="20" t="s">
        <v>1004</v>
      </c>
      <c r="G8" s="24">
        <v>1300</v>
      </c>
      <c r="H8" s="24">
        <v>1300</v>
      </c>
      <c r="I8" s="39"/>
      <c r="J8" s="22" t="s">
        <v>1060</v>
      </c>
      <c r="K8" s="39"/>
    </row>
    <row r="9" spans="1:11" s="19" customFormat="1" ht="75.75" customHeight="1">
      <c r="A9" s="20" t="s">
        <v>13</v>
      </c>
      <c r="B9" s="21" t="s">
        <v>1131</v>
      </c>
      <c r="C9" s="20">
        <v>256</v>
      </c>
      <c r="D9" s="20" t="s">
        <v>1132</v>
      </c>
      <c r="E9" s="20">
        <v>3</v>
      </c>
      <c r="F9" s="27" t="s">
        <v>1023</v>
      </c>
      <c r="G9" s="35">
        <v>980</v>
      </c>
      <c r="H9" s="24">
        <v>2940</v>
      </c>
      <c r="I9" s="39"/>
      <c r="J9" s="22" t="s">
        <v>1068</v>
      </c>
      <c r="K9" s="39"/>
    </row>
    <row r="10" spans="1:11" s="19" customFormat="1" ht="74.25" customHeight="1">
      <c r="A10" s="20" t="s">
        <v>13</v>
      </c>
      <c r="B10" s="21" t="s">
        <v>1111</v>
      </c>
      <c r="C10" s="20">
        <v>257</v>
      </c>
      <c r="D10" s="20" t="s">
        <v>1133</v>
      </c>
      <c r="E10" s="20">
        <v>1</v>
      </c>
      <c r="F10" s="27" t="s">
        <v>1027</v>
      </c>
      <c r="G10" s="24">
        <v>1300</v>
      </c>
      <c r="H10" s="24">
        <v>1300</v>
      </c>
      <c r="I10" s="39"/>
      <c r="J10" s="22" t="s">
        <v>1069</v>
      </c>
      <c r="K10" s="39"/>
    </row>
    <row r="11" spans="1:11" s="19" customFormat="1" ht="74.25" customHeight="1">
      <c r="A11" s="20" t="s">
        <v>13</v>
      </c>
      <c r="B11" s="21" t="s">
        <v>1134</v>
      </c>
      <c r="C11" s="20">
        <v>258</v>
      </c>
      <c r="D11" s="20" t="s">
        <v>1135</v>
      </c>
      <c r="E11" s="20">
        <v>1</v>
      </c>
      <c r="F11" s="27" t="s">
        <v>1136</v>
      </c>
      <c r="G11" s="24">
        <v>980</v>
      </c>
      <c r="H11" s="24">
        <v>980</v>
      </c>
      <c r="I11" s="39"/>
      <c r="J11" s="22" t="s">
        <v>1069</v>
      </c>
      <c r="K11" s="39"/>
    </row>
    <row r="12" spans="1:11" s="19" customFormat="1" ht="74.25" customHeight="1">
      <c r="A12" s="20" t="s">
        <v>13</v>
      </c>
      <c r="B12" s="21" t="s">
        <v>1137</v>
      </c>
      <c r="C12" s="20">
        <v>259</v>
      </c>
      <c r="D12" s="20" t="s">
        <v>1138</v>
      </c>
      <c r="E12" s="20">
        <v>1</v>
      </c>
      <c r="F12" s="27" t="s">
        <v>1139</v>
      </c>
      <c r="G12" s="24">
        <v>1300</v>
      </c>
      <c r="H12" s="24">
        <v>1300</v>
      </c>
      <c r="I12" s="39"/>
      <c r="J12" s="22" t="s">
        <v>1069</v>
      </c>
      <c r="K12" s="39"/>
    </row>
    <row r="13" spans="1:11" s="19" customFormat="1" ht="141">
      <c r="A13" s="25" t="s">
        <v>13</v>
      </c>
      <c r="B13" s="26" t="s">
        <v>1140</v>
      </c>
      <c r="C13" s="20">
        <v>260</v>
      </c>
      <c r="D13" s="34" t="s">
        <v>1141</v>
      </c>
      <c r="E13" s="20">
        <v>1</v>
      </c>
      <c r="F13" s="22" t="s">
        <v>1142</v>
      </c>
      <c r="G13" s="32">
        <v>980</v>
      </c>
      <c r="H13" s="24">
        <v>980</v>
      </c>
      <c r="I13" s="40">
        <v>45709</v>
      </c>
      <c r="J13" s="22" t="s">
        <v>1143</v>
      </c>
      <c r="K13" s="39"/>
    </row>
    <row r="14" spans="1:11" s="19" customFormat="1" ht="141">
      <c r="A14" s="25" t="s">
        <v>13</v>
      </c>
      <c r="B14" s="26" t="s">
        <v>1144</v>
      </c>
      <c r="C14" s="20">
        <v>261</v>
      </c>
      <c r="D14" s="34" t="s">
        <v>1145</v>
      </c>
      <c r="E14" s="20">
        <v>2</v>
      </c>
      <c r="F14" s="22" t="s">
        <v>1146</v>
      </c>
      <c r="G14" s="32" t="s">
        <v>1147</v>
      </c>
      <c r="H14" s="24">
        <v>2050</v>
      </c>
      <c r="I14" s="40"/>
      <c r="J14" s="22" t="s">
        <v>1143</v>
      </c>
      <c r="K14" s="39"/>
    </row>
    <row r="15" spans="1:11" s="19" customFormat="1" ht="141">
      <c r="A15" s="25" t="s">
        <v>13</v>
      </c>
      <c r="B15" s="26" t="s">
        <v>1148</v>
      </c>
      <c r="C15" s="20">
        <v>262</v>
      </c>
      <c r="D15" s="34"/>
      <c r="E15" s="20"/>
      <c r="F15" s="22" t="s">
        <v>1149</v>
      </c>
      <c r="G15" s="24">
        <v>200</v>
      </c>
      <c r="H15" s="24">
        <v>200</v>
      </c>
      <c r="I15" s="40"/>
      <c r="J15" s="22" t="s">
        <v>1143</v>
      </c>
      <c r="K15" s="39"/>
    </row>
    <row r="16" spans="1:11" s="19" customFormat="1" ht="141">
      <c r="A16" s="25" t="s">
        <v>13</v>
      </c>
      <c r="B16" s="26" t="s">
        <v>1150</v>
      </c>
      <c r="C16" s="20">
        <v>263</v>
      </c>
      <c r="D16" s="20" t="s">
        <v>1151</v>
      </c>
      <c r="E16" s="20">
        <v>1</v>
      </c>
      <c r="F16" s="22" t="s">
        <v>1152</v>
      </c>
      <c r="G16" s="24">
        <v>1300</v>
      </c>
      <c r="H16" s="24">
        <v>1300</v>
      </c>
      <c r="I16" s="40">
        <v>45672</v>
      </c>
      <c r="J16" s="22" t="s">
        <v>1143</v>
      </c>
      <c r="K16" s="39"/>
    </row>
    <row r="17" spans="1:12" s="19" customFormat="1" ht="141">
      <c r="A17" s="25" t="s">
        <v>13</v>
      </c>
      <c r="B17" s="26" t="s">
        <v>1153</v>
      </c>
      <c r="C17" s="20">
        <v>262</v>
      </c>
      <c r="D17" s="20" t="s">
        <v>1154</v>
      </c>
      <c r="E17" s="20">
        <v>3</v>
      </c>
      <c r="F17" s="22" t="s">
        <v>1155</v>
      </c>
      <c r="G17" s="24">
        <v>1300</v>
      </c>
      <c r="H17" s="24">
        <v>3900</v>
      </c>
      <c r="I17" s="40">
        <v>45663</v>
      </c>
      <c r="J17" s="22" t="s">
        <v>1143</v>
      </c>
      <c r="K17" s="39"/>
    </row>
    <row r="18" spans="1:12">
      <c r="A18" s="46"/>
      <c r="B18" s="46"/>
      <c r="C18" s="46"/>
      <c r="D18" s="46"/>
      <c r="E18" s="46"/>
      <c r="F18" s="46"/>
      <c r="G18" s="46"/>
      <c r="H18" s="47">
        <f>SUM(H2:H16)</f>
        <v>23830</v>
      </c>
      <c r="I18" s="46"/>
      <c r="J18" s="46"/>
      <c r="K18" s="46"/>
      <c r="L18"/>
    </row>
    <row r="19" spans="1:12">
      <c r="A19" s="8" t="s">
        <v>165</v>
      </c>
      <c r="B19" s="10"/>
      <c r="C19" s="10"/>
      <c r="D19" s="10"/>
      <c r="E19" s="8">
        <f>SUM(E7:E18)</f>
        <v>20</v>
      </c>
      <c r="F19" s="10"/>
      <c r="G19" s="10"/>
      <c r="H19" s="48">
        <f>SUM(H7:H18)</f>
        <v>41380</v>
      </c>
      <c r="I19" s="16"/>
      <c r="J19" s="16"/>
      <c r="K19" s="16"/>
      <c r="L19"/>
    </row>
    <row r="20" spans="1:12">
      <c r="A20"/>
      <c r="B20"/>
      <c r="C20"/>
      <c r="D20"/>
      <c r="E20"/>
      <c r="F20"/>
      <c r="G20"/>
      <c r="H20"/>
      <c r="I20"/>
      <c r="J20"/>
      <c r="K20"/>
      <c r="L20"/>
    </row>
  </sheetData>
  <autoFilter ref="A1:L19" xr:uid="{00000000-0009-0000-0000-000017000000}"/>
  <pageMargins left="0.511811023622047" right="0.511811023622047" top="0.78740157480314998" bottom="0.78740157480314998" header="0.31496062992126" footer="0.31496062992126"/>
  <pageSetup paperSize="9" scale="5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Planilha2" filterMode="1"/>
  <dimension ref="A1:K1048559"/>
  <sheetViews>
    <sheetView workbookViewId="0">
      <selection activeCell="F20" sqref="F20"/>
    </sheetView>
  </sheetViews>
  <sheetFormatPr defaultColWidth="9" defaultRowHeight="15"/>
  <cols>
    <col min="1" max="1" width="17.5703125" customWidth="1"/>
    <col min="2" max="2" width="21.5703125" customWidth="1"/>
    <col min="3" max="3" width="11.85546875" customWidth="1"/>
    <col min="4" max="4" width="27.28515625" customWidth="1"/>
    <col min="5" max="5" width="13.42578125" customWidth="1"/>
    <col min="6" max="6" width="45.42578125" customWidth="1"/>
    <col min="7" max="7" width="13" customWidth="1"/>
    <col min="8" max="8" width="12.28515625" customWidth="1"/>
    <col min="9" max="9" width="13" customWidth="1"/>
    <col min="10" max="10" width="42" customWidth="1"/>
    <col min="11" max="11" width="17.140625" customWidth="1"/>
  </cols>
  <sheetData>
    <row r="1" spans="1:11" ht="47.25" customHeight="1">
      <c r="A1" s="5" t="s">
        <v>0</v>
      </c>
      <c r="B1" s="7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954</v>
      </c>
      <c r="H1" s="7" t="s">
        <v>955</v>
      </c>
      <c r="I1" s="7" t="s">
        <v>10</v>
      </c>
      <c r="J1" s="14" t="s">
        <v>12</v>
      </c>
      <c r="K1" s="15" t="s">
        <v>956</v>
      </c>
    </row>
    <row r="2" spans="1:11" s="19" customFormat="1" ht="115.5" hidden="1" customHeight="1">
      <c r="A2" s="25" t="s">
        <v>13</v>
      </c>
      <c r="B2" s="21" t="s">
        <v>1156</v>
      </c>
      <c r="C2" s="20">
        <v>306</v>
      </c>
      <c r="D2" s="20"/>
      <c r="E2" s="20">
        <v>1</v>
      </c>
      <c r="F2" s="20" t="s">
        <v>1157</v>
      </c>
      <c r="G2" s="32">
        <v>4500</v>
      </c>
      <c r="H2" s="33">
        <v>4500</v>
      </c>
      <c r="I2" s="39"/>
      <c r="J2" s="22" t="s">
        <v>1158</v>
      </c>
      <c r="K2" s="39"/>
    </row>
    <row r="3" spans="1:11" s="19" customFormat="1" ht="77.25" hidden="1">
      <c r="A3" s="25" t="s">
        <v>13</v>
      </c>
      <c r="B3" s="26" t="s">
        <v>1159</v>
      </c>
      <c r="C3" s="20">
        <v>307</v>
      </c>
      <c r="D3" s="34" t="s">
        <v>1160</v>
      </c>
      <c r="E3" s="20">
        <v>1</v>
      </c>
      <c r="F3" s="22" t="s">
        <v>1161</v>
      </c>
      <c r="G3" s="32">
        <v>1300</v>
      </c>
      <c r="H3" s="24">
        <v>1300</v>
      </c>
      <c r="I3" s="40"/>
      <c r="J3" s="22" t="s">
        <v>1143</v>
      </c>
      <c r="K3" s="39"/>
    </row>
    <row r="4" spans="1:11" s="19" customFormat="1" ht="115.5" hidden="1" customHeight="1">
      <c r="A4" s="25" t="s">
        <v>13</v>
      </c>
      <c r="B4" s="21" t="s">
        <v>1162</v>
      </c>
      <c r="C4" s="20">
        <v>308</v>
      </c>
      <c r="D4" s="20" t="s">
        <v>1163</v>
      </c>
      <c r="E4" s="20">
        <v>1</v>
      </c>
      <c r="F4" s="20" t="s">
        <v>1164</v>
      </c>
      <c r="G4" s="32">
        <v>980</v>
      </c>
      <c r="H4" s="33">
        <v>980</v>
      </c>
      <c r="I4" s="39"/>
      <c r="J4" s="22" t="s">
        <v>1158</v>
      </c>
      <c r="K4" s="39"/>
    </row>
    <row r="5" spans="1:11" s="19" customFormat="1" ht="115.5" customHeight="1">
      <c r="A5" s="25" t="s">
        <v>13</v>
      </c>
      <c r="B5" s="21" t="s">
        <v>1165</v>
      </c>
      <c r="C5" s="20">
        <v>309</v>
      </c>
      <c r="D5" s="20" t="s">
        <v>1166</v>
      </c>
      <c r="E5" s="20">
        <v>2</v>
      </c>
      <c r="F5" s="20" t="s">
        <v>1167</v>
      </c>
      <c r="G5" s="32" t="s">
        <v>1168</v>
      </c>
      <c r="H5" s="33">
        <v>2600</v>
      </c>
      <c r="I5" s="39"/>
      <c r="J5" s="22" t="s">
        <v>1158</v>
      </c>
      <c r="K5" s="39"/>
    </row>
    <row r="6" spans="1:11" s="19" customFormat="1" ht="115.5" hidden="1" customHeight="1">
      <c r="A6" s="25" t="s">
        <v>13</v>
      </c>
      <c r="B6" s="21" t="s">
        <v>1169</v>
      </c>
      <c r="C6" s="20">
        <v>310</v>
      </c>
      <c r="D6" s="20" t="s">
        <v>1170</v>
      </c>
      <c r="E6" s="20">
        <v>2</v>
      </c>
      <c r="F6" s="20" t="s">
        <v>1171</v>
      </c>
      <c r="G6" s="32">
        <v>1300</v>
      </c>
      <c r="H6" s="33">
        <v>2600</v>
      </c>
      <c r="I6" s="39"/>
      <c r="J6" s="22" t="s">
        <v>1158</v>
      </c>
      <c r="K6" s="39"/>
    </row>
    <row r="7" spans="1:11" s="19" customFormat="1" ht="115.5" customHeight="1">
      <c r="A7" s="25" t="s">
        <v>13</v>
      </c>
      <c r="B7" s="21" t="s">
        <v>1172</v>
      </c>
      <c r="C7" s="20">
        <v>311</v>
      </c>
      <c r="D7" s="20" t="s">
        <v>1173</v>
      </c>
      <c r="E7" s="20">
        <v>1</v>
      </c>
      <c r="F7" s="20" t="s">
        <v>1174</v>
      </c>
      <c r="G7" s="32">
        <v>1300</v>
      </c>
      <c r="H7" s="33">
        <v>1300</v>
      </c>
      <c r="I7" s="39"/>
      <c r="J7" s="22" t="s">
        <v>1158</v>
      </c>
      <c r="K7" s="39"/>
    </row>
    <row r="8" spans="1:11" s="19" customFormat="1" ht="111.75" hidden="1" customHeight="1">
      <c r="A8" s="25" t="s">
        <v>13</v>
      </c>
      <c r="B8" s="21" t="s">
        <v>1113</v>
      </c>
      <c r="C8" s="20" t="s">
        <v>1175</v>
      </c>
      <c r="D8" s="20" t="s">
        <v>1176</v>
      </c>
      <c r="E8" s="20">
        <v>2</v>
      </c>
      <c r="F8" s="27" t="s">
        <v>1116</v>
      </c>
      <c r="G8" s="32" t="s">
        <v>1117</v>
      </c>
      <c r="H8" s="24">
        <v>2600</v>
      </c>
      <c r="I8" s="39"/>
      <c r="J8" s="22" t="s">
        <v>1032</v>
      </c>
      <c r="K8" s="39"/>
    </row>
    <row r="9" spans="1:11" s="19" customFormat="1" ht="111.75" hidden="1" customHeight="1">
      <c r="A9" s="25" t="s">
        <v>13</v>
      </c>
      <c r="B9" s="28" t="s">
        <v>1118</v>
      </c>
      <c r="C9" s="20">
        <v>314</v>
      </c>
      <c r="D9" s="20" t="s">
        <v>1177</v>
      </c>
      <c r="E9" s="20">
        <v>1</v>
      </c>
      <c r="F9" s="27" t="s">
        <v>1079</v>
      </c>
      <c r="G9" s="23">
        <v>980</v>
      </c>
      <c r="H9" s="23">
        <v>980</v>
      </c>
      <c r="I9" s="39"/>
      <c r="J9" s="22" t="s">
        <v>1032</v>
      </c>
      <c r="K9" s="39"/>
    </row>
    <row r="10" spans="1:11" s="19" customFormat="1" ht="111.75" hidden="1" customHeight="1">
      <c r="A10" s="20" t="s">
        <v>73</v>
      </c>
      <c r="B10" s="20" t="s">
        <v>1080</v>
      </c>
      <c r="C10" s="20">
        <v>315</v>
      </c>
      <c r="D10" s="34" t="s">
        <v>1178</v>
      </c>
      <c r="E10" s="20">
        <v>1</v>
      </c>
      <c r="F10" s="20" t="s">
        <v>969</v>
      </c>
      <c r="G10" s="35">
        <v>600</v>
      </c>
      <c r="H10" s="35">
        <v>600</v>
      </c>
      <c r="I10" s="39"/>
      <c r="J10" s="22" t="s">
        <v>1032</v>
      </c>
      <c r="K10" s="39"/>
    </row>
    <row r="11" spans="1:11" s="19" customFormat="1" ht="111.75" hidden="1" customHeight="1">
      <c r="A11" s="20" t="s">
        <v>13</v>
      </c>
      <c r="B11" s="20" t="s">
        <v>1082</v>
      </c>
      <c r="C11" s="20">
        <v>316</v>
      </c>
      <c r="D11" s="20" t="s">
        <v>1179</v>
      </c>
      <c r="E11" s="20">
        <v>1</v>
      </c>
      <c r="F11" s="22" t="s">
        <v>1084</v>
      </c>
      <c r="G11" s="23">
        <v>1300</v>
      </c>
      <c r="H11" s="24">
        <v>1300</v>
      </c>
      <c r="I11" s="39"/>
      <c r="J11" s="22" t="s">
        <v>1032</v>
      </c>
      <c r="K11" s="39"/>
    </row>
    <row r="12" spans="1:11" s="19" customFormat="1" ht="111.75" hidden="1" customHeight="1">
      <c r="A12" s="20" t="s">
        <v>13</v>
      </c>
      <c r="B12" s="20" t="s">
        <v>1122</v>
      </c>
      <c r="C12" s="20" t="s">
        <v>1180</v>
      </c>
      <c r="D12" s="20" t="s">
        <v>1181</v>
      </c>
      <c r="E12" s="20">
        <v>4</v>
      </c>
      <c r="F12" s="27" t="s">
        <v>1125</v>
      </c>
      <c r="G12" s="36" t="s">
        <v>1126</v>
      </c>
      <c r="H12" s="24">
        <v>4700</v>
      </c>
      <c r="I12" s="39"/>
      <c r="J12" s="22" t="s">
        <v>1032</v>
      </c>
      <c r="K12" s="39"/>
    </row>
    <row r="13" spans="1:11" s="19" customFormat="1" ht="111.75" hidden="1" customHeight="1">
      <c r="A13" s="25" t="s">
        <v>13</v>
      </c>
      <c r="B13" s="21" t="s">
        <v>1182</v>
      </c>
      <c r="C13" s="20" t="s">
        <v>1183</v>
      </c>
      <c r="D13" s="20" t="s">
        <v>1184</v>
      </c>
      <c r="E13" s="20">
        <v>6</v>
      </c>
      <c r="F13" s="20" t="s">
        <v>1099</v>
      </c>
      <c r="G13" s="24">
        <v>1300</v>
      </c>
      <c r="H13" s="24">
        <v>7800</v>
      </c>
      <c r="I13" s="39"/>
      <c r="J13" s="22" t="s">
        <v>1055</v>
      </c>
      <c r="K13" s="39"/>
    </row>
    <row r="14" spans="1:11" s="19" customFormat="1" ht="111.75" hidden="1" customHeight="1">
      <c r="A14" s="20" t="s">
        <v>13</v>
      </c>
      <c r="B14" s="37" t="s">
        <v>1100</v>
      </c>
      <c r="C14" s="20">
        <v>322</v>
      </c>
      <c r="D14" s="20" t="s">
        <v>1185</v>
      </c>
      <c r="E14" s="20">
        <v>1</v>
      </c>
      <c r="F14" s="20" t="s">
        <v>1004</v>
      </c>
      <c r="G14" s="24">
        <v>1300</v>
      </c>
      <c r="H14" s="24">
        <v>1300</v>
      </c>
      <c r="I14" s="39"/>
      <c r="J14" s="22" t="s">
        <v>1060</v>
      </c>
      <c r="K14" s="39"/>
    </row>
    <row r="15" spans="1:11" s="19" customFormat="1" ht="111.75" hidden="1" customHeight="1">
      <c r="A15" s="20" t="s">
        <v>13</v>
      </c>
      <c r="B15" s="21" t="s">
        <v>1131</v>
      </c>
      <c r="C15" s="20">
        <v>323</v>
      </c>
      <c r="D15" s="20" t="s">
        <v>1186</v>
      </c>
      <c r="E15" s="20">
        <v>3</v>
      </c>
      <c r="F15" s="27" t="s">
        <v>1023</v>
      </c>
      <c r="G15" s="35">
        <v>980</v>
      </c>
      <c r="H15" s="24">
        <v>2940</v>
      </c>
      <c r="I15" s="39"/>
      <c r="J15" s="22" t="s">
        <v>1068</v>
      </c>
      <c r="K15" s="39"/>
    </row>
    <row r="16" spans="1:11" s="19" customFormat="1" ht="111.75" hidden="1" customHeight="1">
      <c r="A16" s="20" t="s">
        <v>13</v>
      </c>
      <c r="B16" s="21" t="s">
        <v>1111</v>
      </c>
      <c r="C16" s="20">
        <v>324</v>
      </c>
      <c r="D16" s="20" t="s">
        <v>1187</v>
      </c>
      <c r="E16" s="20">
        <v>1</v>
      </c>
      <c r="F16" s="27" t="s">
        <v>1027</v>
      </c>
      <c r="G16" s="24">
        <v>1300</v>
      </c>
      <c r="H16" s="24">
        <v>1300</v>
      </c>
      <c r="I16" s="39"/>
      <c r="J16" s="22" t="s">
        <v>1069</v>
      </c>
      <c r="K16" s="39"/>
    </row>
    <row r="17" spans="1:11" s="19" customFormat="1" ht="111.75" hidden="1" customHeight="1">
      <c r="A17" s="25" t="s">
        <v>13</v>
      </c>
      <c r="B17" s="26" t="s">
        <v>1140</v>
      </c>
      <c r="C17" s="20">
        <v>325</v>
      </c>
      <c r="D17" s="34" t="s">
        <v>1188</v>
      </c>
      <c r="E17" s="20">
        <v>1</v>
      </c>
      <c r="F17" s="22" t="s">
        <v>1142</v>
      </c>
      <c r="G17" s="32">
        <v>980</v>
      </c>
      <c r="H17" s="24">
        <v>980</v>
      </c>
      <c r="I17" s="40">
        <v>45709</v>
      </c>
      <c r="J17" s="22" t="s">
        <v>1143</v>
      </c>
      <c r="K17" s="39"/>
    </row>
    <row r="18" spans="1:11" s="19" customFormat="1" ht="111.75" hidden="1" customHeight="1">
      <c r="A18" s="25" t="s">
        <v>13</v>
      </c>
      <c r="B18" s="26" t="s">
        <v>1144</v>
      </c>
      <c r="C18" s="20">
        <v>326</v>
      </c>
      <c r="D18" s="34" t="s">
        <v>1189</v>
      </c>
      <c r="E18" s="20">
        <v>2</v>
      </c>
      <c r="F18" s="22" t="s">
        <v>1146</v>
      </c>
      <c r="G18" s="32" t="s">
        <v>1147</v>
      </c>
      <c r="H18" s="24">
        <v>2050</v>
      </c>
      <c r="I18" s="40"/>
      <c r="J18" s="22" t="s">
        <v>1143</v>
      </c>
      <c r="K18" s="39"/>
    </row>
    <row r="19" spans="1:11" s="19" customFormat="1" ht="111.75" hidden="1" customHeight="1">
      <c r="A19" s="25" t="s">
        <v>13</v>
      </c>
      <c r="B19" s="26" t="s">
        <v>1190</v>
      </c>
      <c r="C19" s="20">
        <v>327</v>
      </c>
      <c r="D19" s="20" t="s">
        <v>1191</v>
      </c>
      <c r="E19" s="20">
        <v>2</v>
      </c>
      <c r="F19" s="22" t="s">
        <v>1155</v>
      </c>
      <c r="G19" s="24">
        <v>1300</v>
      </c>
      <c r="H19" s="24">
        <v>2600</v>
      </c>
      <c r="I19" s="40">
        <v>45663</v>
      </c>
      <c r="J19" s="22" t="s">
        <v>1143</v>
      </c>
      <c r="K19" s="39"/>
    </row>
    <row r="20" spans="1:11" s="17" customFormat="1" ht="111.75" customHeight="1">
      <c r="A20" s="8" t="s">
        <v>165</v>
      </c>
      <c r="B20" s="10"/>
      <c r="C20" s="10"/>
      <c r="D20" s="10"/>
      <c r="E20" s="8">
        <v>33</v>
      </c>
      <c r="F20" s="10"/>
      <c r="G20" s="10"/>
      <c r="H20" s="38">
        <f>SUBTOTAL(9,H2:H16)</f>
        <v>3900</v>
      </c>
      <c r="I20" s="16"/>
      <c r="J20" s="16"/>
      <c r="K20" s="16"/>
    </row>
    <row r="1048559" spans="8:8">
      <c r="H1048559">
        <f>SUBTOTAL(9,H20)</f>
        <v>0</v>
      </c>
    </row>
  </sheetData>
  <autoFilter ref="A1:K19" xr:uid="{00000000-0009-0000-0000-000018000000}">
    <filterColumn colId="5">
      <filters>
        <filter val="1-  RUA DEZESSETE 89, DARCY RIBEIRO"/>
        <filter val="1-  RUA DEZESSETE 89, DARCY RIBEIRO                              2-  RUA DEZESSETE 89, DARCY RIBEIRO"/>
      </filters>
    </filterColumn>
  </autoFilter>
  <pageMargins left="0.511811023622047" right="0.511811023622047" top="0.78740157480314998" bottom="0.78740157480314998" header="0.31496062992126" footer="0.31496062992126"/>
  <pageSetup paperSize="9" scale="5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23" filterMode="1"/>
  <dimension ref="A1:L1048567"/>
  <sheetViews>
    <sheetView workbookViewId="0">
      <selection activeCell="E51" sqref="E51"/>
    </sheetView>
  </sheetViews>
  <sheetFormatPr defaultColWidth="9" defaultRowHeight="15"/>
  <cols>
    <col min="1" max="1" width="17.5703125" customWidth="1"/>
    <col min="2" max="2" width="21.5703125" customWidth="1"/>
    <col min="3" max="3" width="11.85546875" customWidth="1"/>
    <col min="4" max="4" width="27.28515625" customWidth="1"/>
    <col min="5" max="5" width="13.42578125" customWidth="1"/>
    <col min="6" max="6" width="45.42578125" customWidth="1"/>
    <col min="7" max="7" width="13" customWidth="1"/>
    <col min="8" max="8" width="12.28515625" customWidth="1"/>
    <col min="9" max="9" width="13" customWidth="1"/>
    <col min="10" max="10" width="42" customWidth="1"/>
    <col min="11" max="11" width="17.140625" customWidth="1"/>
  </cols>
  <sheetData>
    <row r="1" spans="1:11" ht="47.25" customHeight="1">
      <c r="A1" s="5" t="s">
        <v>0</v>
      </c>
      <c r="B1" s="7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954</v>
      </c>
      <c r="H1" s="7" t="s">
        <v>955</v>
      </c>
      <c r="I1" s="7" t="s">
        <v>10</v>
      </c>
      <c r="J1" s="14" t="s">
        <v>12</v>
      </c>
      <c r="K1" s="15" t="s">
        <v>956</v>
      </c>
    </row>
    <row r="2" spans="1:11" s="19" customFormat="1" ht="111.75" hidden="1" customHeight="1">
      <c r="A2" s="25" t="s">
        <v>13</v>
      </c>
      <c r="B2" s="26" t="s">
        <v>1393</v>
      </c>
      <c r="C2" s="20">
        <v>325</v>
      </c>
      <c r="D2" s="34" t="s">
        <v>1188</v>
      </c>
      <c r="E2" s="20">
        <v>1</v>
      </c>
      <c r="F2" s="22" t="s">
        <v>1142</v>
      </c>
      <c r="G2" s="32">
        <v>980</v>
      </c>
      <c r="H2" s="24">
        <v>980</v>
      </c>
      <c r="I2" s="40">
        <v>45709</v>
      </c>
      <c r="J2" s="22" t="s">
        <v>1143</v>
      </c>
      <c r="K2" s="39"/>
    </row>
    <row r="3" spans="1:11" s="19" customFormat="1" ht="111.75" hidden="1" customHeight="1">
      <c r="A3" s="20" t="s">
        <v>13</v>
      </c>
      <c r="B3" s="21" t="s">
        <v>1192</v>
      </c>
      <c r="C3" s="20">
        <v>405</v>
      </c>
      <c r="D3" s="20" t="s">
        <v>1193</v>
      </c>
      <c r="E3" s="20">
        <v>1</v>
      </c>
      <c r="F3" s="22" t="s">
        <v>1194</v>
      </c>
      <c r="G3" s="24">
        <v>1300</v>
      </c>
      <c r="H3" s="24">
        <v>1300</v>
      </c>
      <c r="I3" s="39"/>
      <c r="J3" s="22" t="s">
        <v>1055</v>
      </c>
      <c r="K3" s="39"/>
    </row>
    <row r="4" spans="1:11" s="19" customFormat="1" ht="111.75" hidden="1" customHeight="1">
      <c r="A4" s="20" t="s">
        <v>13</v>
      </c>
      <c r="B4" s="21" t="s">
        <v>1192</v>
      </c>
      <c r="C4" s="20">
        <v>404</v>
      </c>
      <c r="D4" s="20" t="s">
        <v>1195</v>
      </c>
      <c r="E4" s="20">
        <v>1</v>
      </c>
      <c r="F4" s="22" t="s">
        <v>1196</v>
      </c>
      <c r="G4" s="24">
        <v>1300</v>
      </c>
      <c r="H4" s="24">
        <v>1300</v>
      </c>
      <c r="I4" s="39"/>
      <c r="J4" s="22" t="s">
        <v>1055</v>
      </c>
      <c r="K4" s="39"/>
    </row>
    <row r="5" spans="1:11" s="19" customFormat="1" ht="111.75" hidden="1" customHeight="1">
      <c r="A5" s="20" t="s">
        <v>13</v>
      </c>
      <c r="B5" s="21" t="s">
        <v>1192</v>
      </c>
      <c r="C5" s="20">
        <v>406</v>
      </c>
      <c r="D5" s="20" t="s">
        <v>1197</v>
      </c>
      <c r="E5" s="20">
        <v>1</v>
      </c>
      <c r="F5" s="22" t="s">
        <v>1198</v>
      </c>
      <c r="G5" s="24">
        <v>1300</v>
      </c>
      <c r="H5" s="24">
        <v>1300</v>
      </c>
      <c r="I5" s="39"/>
      <c r="J5" s="22" t="s">
        <v>1055</v>
      </c>
      <c r="K5" s="39"/>
    </row>
    <row r="6" spans="1:11" s="19" customFormat="1" ht="88.5" hidden="1" customHeight="1">
      <c r="A6" s="25" t="s">
        <v>13</v>
      </c>
      <c r="B6" s="28" t="s">
        <v>1199</v>
      </c>
      <c r="C6" s="20">
        <v>407</v>
      </c>
      <c r="D6" s="20" t="s">
        <v>1200</v>
      </c>
      <c r="E6" s="20">
        <v>1</v>
      </c>
      <c r="F6" s="20" t="s">
        <v>983</v>
      </c>
      <c r="G6" s="24">
        <v>1300</v>
      </c>
      <c r="H6" s="24">
        <v>1300</v>
      </c>
      <c r="I6" s="41" t="s">
        <v>1201</v>
      </c>
      <c r="J6" s="22" t="s">
        <v>1032</v>
      </c>
      <c r="K6" s="39"/>
    </row>
    <row r="7" spans="1:11" s="19" customFormat="1" ht="93" hidden="1" customHeight="1">
      <c r="A7" s="25" t="s">
        <v>13</v>
      </c>
      <c r="B7" s="28" t="s">
        <v>1202</v>
      </c>
      <c r="C7" s="20">
        <v>408</v>
      </c>
      <c r="D7" s="20" t="s">
        <v>1203</v>
      </c>
      <c r="E7" s="20">
        <v>1</v>
      </c>
      <c r="F7" s="27" t="s">
        <v>1204</v>
      </c>
      <c r="G7" s="24">
        <v>1300</v>
      </c>
      <c r="H7" s="24">
        <v>1300</v>
      </c>
      <c r="I7" s="40">
        <v>45672</v>
      </c>
      <c r="J7" s="22" t="s">
        <v>1205</v>
      </c>
      <c r="K7" s="39"/>
    </row>
    <row r="8" spans="1:11" s="19" customFormat="1" ht="93" hidden="1" customHeight="1">
      <c r="A8" s="25" t="s">
        <v>13</v>
      </c>
      <c r="B8" s="28" t="s">
        <v>1206</v>
      </c>
      <c r="C8" s="20">
        <v>409</v>
      </c>
      <c r="D8" s="20" t="s">
        <v>1207</v>
      </c>
      <c r="E8" s="20">
        <v>1</v>
      </c>
      <c r="F8" s="27" t="s">
        <v>1208</v>
      </c>
      <c r="G8" s="24">
        <v>980</v>
      </c>
      <c r="H8" s="24">
        <v>980</v>
      </c>
      <c r="I8" s="40">
        <v>45671</v>
      </c>
      <c r="J8" s="22" t="s">
        <v>1205</v>
      </c>
      <c r="K8" s="39"/>
    </row>
    <row r="9" spans="1:11" s="19" customFormat="1" ht="78.75" hidden="1" customHeight="1">
      <c r="A9" s="25" t="s">
        <v>13</v>
      </c>
      <c r="B9" s="26" t="s">
        <v>1387</v>
      </c>
      <c r="C9" s="29" t="s">
        <v>1209</v>
      </c>
      <c r="D9" s="20" t="s">
        <v>1210</v>
      </c>
      <c r="E9" s="20">
        <v>3</v>
      </c>
      <c r="F9" s="27" t="s">
        <v>1211</v>
      </c>
      <c r="G9" s="23" t="s">
        <v>1212</v>
      </c>
      <c r="H9" s="23">
        <v>3900</v>
      </c>
      <c r="I9" s="40">
        <v>45663</v>
      </c>
      <c r="J9" s="22" t="s">
        <v>1213</v>
      </c>
      <c r="K9" s="39"/>
    </row>
    <row r="10" spans="1:11" s="19" customFormat="1" ht="88.5" hidden="1" customHeight="1">
      <c r="A10" s="25" t="s">
        <v>13</v>
      </c>
      <c r="B10" s="26" t="s">
        <v>1214</v>
      </c>
      <c r="C10" s="20">
        <v>413</v>
      </c>
      <c r="D10" s="20" t="s">
        <v>1215</v>
      </c>
      <c r="E10" s="20">
        <v>1</v>
      </c>
      <c r="F10" s="20" t="s">
        <v>1216</v>
      </c>
      <c r="G10" s="30">
        <v>980</v>
      </c>
      <c r="H10" s="24">
        <v>980</v>
      </c>
      <c r="I10" s="39"/>
      <c r="J10" s="22" t="s">
        <v>1217</v>
      </c>
      <c r="K10" s="39"/>
    </row>
    <row r="11" spans="1:11" s="19" customFormat="1" ht="88.5" hidden="1" customHeight="1">
      <c r="A11" s="25" t="s">
        <v>13</v>
      </c>
      <c r="B11" s="26" t="s">
        <v>1396</v>
      </c>
      <c r="C11" s="20">
        <v>414</v>
      </c>
      <c r="D11" s="20" t="s">
        <v>1218</v>
      </c>
      <c r="E11" s="20">
        <v>1</v>
      </c>
      <c r="F11" s="20" t="s">
        <v>1219</v>
      </c>
      <c r="G11" s="30">
        <v>980</v>
      </c>
      <c r="H11" s="24">
        <v>980</v>
      </c>
      <c r="I11" s="39"/>
      <c r="J11" s="22" t="s">
        <v>1217</v>
      </c>
      <c r="K11" s="39"/>
    </row>
    <row r="12" spans="1:11" s="19" customFormat="1" ht="90.75" hidden="1" customHeight="1">
      <c r="A12" s="25" t="s">
        <v>13</v>
      </c>
      <c r="B12" s="26" t="s">
        <v>1220</v>
      </c>
      <c r="C12" s="20">
        <v>416</v>
      </c>
      <c r="D12" s="20" t="s">
        <v>1221</v>
      </c>
      <c r="E12" s="20">
        <v>1</v>
      </c>
      <c r="F12" s="31" t="s">
        <v>1222</v>
      </c>
      <c r="G12" s="24">
        <v>1300</v>
      </c>
      <c r="H12" s="24">
        <v>1300</v>
      </c>
      <c r="I12" s="40">
        <v>45665</v>
      </c>
      <c r="J12" s="22" t="s">
        <v>1223</v>
      </c>
      <c r="K12" s="39"/>
    </row>
    <row r="13" spans="1:11" s="19" customFormat="1" ht="80.25" hidden="1" customHeight="1">
      <c r="A13" s="25" t="s">
        <v>13</v>
      </c>
      <c r="B13" s="26" t="s">
        <v>1224</v>
      </c>
      <c r="C13" s="20">
        <v>415</v>
      </c>
      <c r="D13" s="20" t="s">
        <v>1200</v>
      </c>
      <c r="E13" s="20">
        <v>3</v>
      </c>
      <c r="F13" s="27" t="s">
        <v>1225</v>
      </c>
      <c r="G13" s="24">
        <v>980</v>
      </c>
      <c r="H13" s="24">
        <v>2940</v>
      </c>
      <c r="I13" s="40">
        <v>45663</v>
      </c>
      <c r="J13" s="22" t="s">
        <v>1226</v>
      </c>
      <c r="K13" s="39"/>
    </row>
    <row r="14" spans="1:11" s="19" customFormat="1" ht="80.25" hidden="1" customHeight="1">
      <c r="A14" s="25" t="s">
        <v>13</v>
      </c>
      <c r="B14" s="26" t="s">
        <v>1395</v>
      </c>
      <c r="C14" s="20">
        <v>412</v>
      </c>
      <c r="D14" s="20" t="s">
        <v>1227</v>
      </c>
      <c r="E14" s="20">
        <v>1</v>
      </c>
      <c r="F14" s="27" t="s">
        <v>1228</v>
      </c>
      <c r="G14" s="24">
        <v>980</v>
      </c>
      <c r="H14" s="24">
        <v>980</v>
      </c>
      <c r="I14" s="40">
        <v>45663</v>
      </c>
      <c r="J14" s="22" t="s">
        <v>1226</v>
      </c>
      <c r="K14" s="39"/>
    </row>
    <row r="15" spans="1:11" s="19" customFormat="1" ht="77.25" hidden="1">
      <c r="A15" s="25" t="s">
        <v>13</v>
      </c>
      <c r="B15" s="21" t="s">
        <v>1229</v>
      </c>
      <c r="C15" s="20">
        <v>417</v>
      </c>
      <c r="D15" s="20" t="s">
        <v>1230</v>
      </c>
      <c r="E15" s="20">
        <v>1</v>
      </c>
      <c r="F15" s="20" t="s">
        <v>1231</v>
      </c>
      <c r="G15" s="32">
        <v>980</v>
      </c>
      <c r="H15" s="33">
        <v>980</v>
      </c>
      <c r="I15" s="39"/>
      <c r="J15" s="22" t="s">
        <v>1158</v>
      </c>
      <c r="K15" s="39"/>
    </row>
    <row r="16" spans="1:11" s="19" customFormat="1" ht="77.25" hidden="1">
      <c r="A16" s="25" t="s">
        <v>13</v>
      </c>
      <c r="B16" s="21" t="s">
        <v>1162</v>
      </c>
      <c r="C16" s="20">
        <v>387</v>
      </c>
      <c r="D16" s="20" t="s">
        <v>1232</v>
      </c>
      <c r="E16" s="20">
        <v>1</v>
      </c>
      <c r="F16" s="20" t="s">
        <v>1164</v>
      </c>
      <c r="G16" s="32">
        <v>980</v>
      </c>
      <c r="H16" s="33">
        <v>980</v>
      </c>
      <c r="I16" s="39"/>
      <c r="J16" s="22" t="s">
        <v>1158</v>
      </c>
      <c r="K16" s="39"/>
    </row>
    <row r="17" spans="1:11" s="19" customFormat="1" ht="77.25" hidden="1">
      <c r="A17" s="25" t="s">
        <v>13</v>
      </c>
      <c r="B17" s="21" t="s">
        <v>1390</v>
      </c>
      <c r="C17" s="20">
        <v>388</v>
      </c>
      <c r="D17" s="20" t="s">
        <v>1233</v>
      </c>
      <c r="E17" s="20">
        <v>1</v>
      </c>
      <c r="F17" s="20" t="s">
        <v>1234</v>
      </c>
      <c r="G17" s="32">
        <v>1300</v>
      </c>
      <c r="H17" s="33">
        <v>1300</v>
      </c>
      <c r="I17" s="39"/>
      <c r="J17" s="22" t="s">
        <v>1158</v>
      </c>
      <c r="K17" s="39"/>
    </row>
    <row r="18" spans="1:11" s="19" customFormat="1" ht="77.25" hidden="1">
      <c r="A18" s="25" t="s">
        <v>13</v>
      </c>
      <c r="B18" s="21" t="s">
        <v>1235</v>
      </c>
      <c r="C18" s="20">
        <v>389</v>
      </c>
      <c r="D18" s="20" t="s">
        <v>1236</v>
      </c>
      <c r="E18" s="20">
        <v>1</v>
      </c>
      <c r="F18" s="20" t="s">
        <v>1171</v>
      </c>
      <c r="G18" s="32">
        <v>1300</v>
      </c>
      <c r="H18" s="33">
        <v>1300</v>
      </c>
      <c r="I18" s="39"/>
      <c r="J18" s="22" t="s">
        <v>1158</v>
      </c>
      <c r="K18" s="39"/>
    </row>
    <row r="19" spans="1:11" s="19" customFormat="1" ht="77.25" hidden="1">
      <c r="A19" s="25" t="s">
        <v>13</v>
      </c>
      <c r="B19" s="21" t="s">
        <v>1237</v>
      </c>
      <c r="C19" s="20">
        <v>390</v>
      </c>
      <c r="D19" s="20" t="s">
        <v>1238</v>
      </c>
      <c r="E19" s="20">
        <v>1</v>
      </c>
      <c r="F19" s="27" t="s">
        <v>1239</v>
      </c>
      <c r="G19" s="32">
        <v>1300</v>
      </c>
      <c r="H19" s="24">
        <v>1300</v>
      </c>
      <c r="I19" s="39"/>
      <c r="J19" s="22" t="s">
        <v>1032</v>
      </c>
      <c r="K19" s="39"/>
    </row>
    <row r="20" spans="1:11" s="19" customFormat="1" ht="77.25" hidden="1">
      <c r="A20" s="20" t="s">
        <v>73</v>
      </c>
      <c r="B20" s="20" t="s">
        <v>1080</v>
      </c>
      <c r="C20" s="20">
        <v>391</v>
      </c>
      <c r="D20" s="34" t="s">
        <v>1240</v>
      </c>
      <c r="E20" s="20">
        <v>1</v>
      </c>
      <c r="F20" s="20" t="s">
        <v>969</v>
      </c>
      <c r="G20" s="35">
        <v>600</v>
      </c>
      <c r="H20" s="35">
        <v>600</v>
      </c>
      <c r="I20" s="39"/>
      <c r="J20" s="22" t="s">
        <v>1032</v>
      </c>
      <c r="K20" s="39"/>
    </row>
    <row r="21" spans="1:11" s="19" customFormat="1" ht="77.25">
      <c r="A21" s="20" t="s">
        <v>13</v>
      </c>
      <c r="B21" s="20" t="s">
        <v>1398</v>
      </c>
      <c r="C21" s="20">
        <v>392</v>
      </c>
      <c r="D21" s="20" t="s">
        <v>1241</v>
      </c>
      <c r="E21" s="20">
        <v>1</v>
      </c>
      <c r="F21" s="22" t="s">
        <v>1084</v>
      </c>
      <c r="G21" s="23">
        <v>1300</v>
      </c>
      <c r="H21" s="24">
        <v>1300</v>
      </c>
      <c r="I21" s="39"/>
      <c r="J21" s="22" t="s">
        <v>1032</v>
      </c>
      <c r="K21" s="39"/>
    </row>
    <row r="22" spans="1:11" s="19" customFormat="1" ht="77.25" hidden="1">
      <c r="A22" s="20" t="s">
        <v>13</v>
      </c>
      <c r="B22" s="20" t="s">
        <v>1242</v>
      </c>
      <c r="C22" s="20">
        <v>399</v>
      </c>
      <c r="D22" s="20" t="s">
        <v>1243</v>
      </c>
      <c r="E22" s="20">
        <v>1</v>
      </c>
      <c r="F22" s="27" t="s">
        <v>1244</v>
      </c>
      <c r="G22" s="23">
        <v>1300</v>
      </c>
      <c r="H22" s="24">
        <v>1300</v>
      </c>
      <c r="I22" s="39"/>
      <c r="J22" s="22" t="s">
        <v>1032</v>
      </c>
      <c r="K22" s="39"/>
    </row>
    <row r="23" spans="1:11" s="19" customFormat="1" ht="77.25" hidden="1">
      <c r="A23" s="20" t="s">
        <v>13</v>
      </c>
      <c r="B23" s="20" t="s">
        <v>1242</v>
      </c>
      <c r="C23" s="20">
        <v>400</v>
      </c>
      <c r="D23" s="20" t="s">
        <v>1245</v>
      </c>
      <c r="E23" s="20">
        <v>1</v>
      </c>
      <c r="F23" s="27" t="s">
        <v>1246</v>
      </c>
      <c r="G23" s="23">
        <v>1300</v>
      </c>
      <c r="H23" s="24">
        <v>1300</v>
      </c>
      <c r="I23" s="39"/>
      <c r="J23" s="22" t="s">
        <v>1032</v>
      </c>
      <c r="K23" s="39"/>
    </row>
    <row r="24" spans="1:11" s="19" customFormat="1" ht="77.25" hidden="1">
      <c r="A24" s="20" t="s">
        <v>13</v>
      </c>
      <c r="B24" s="20" t="s">
        <v>1242</v>
      </c>
      <c r="C24" s="20">
        <v>401</v>
      </c>
      <c r="D24" s="20" t="s">
        <v>1247</v>
      </c>
      <c r="E24" s="20">
        <v>1</v>
      </c>
      <c r="F24" s="27" t="s">
        <v>1248</v>
      </c>
      <c r="G24" s="36">
        <v>800</v>
      </c>
      <c r="H24" s="24">
        <v>800</v>
      </c>
      <c r="I24" s="39"/>
      <c r="J24" s="22" t="s">
        <v>1032</v>
      </c>
      <c r="K24" s="39"/>
    </row>
    <row r="25" spans="1:11" s="19" customFormat="1" ht="90" hidden="1">
      <c r="A25" s="20" t="s">
        <v>13</v>
      </c>
      <c r="B25" s="20" t="s">
        <v>1122</v>
      </c>
      <c r="C25" s="20">
        <v>402</v>
      </c>
      <c r="D25" s="20" t="s">
        <v>1249</v>
      </c>
      <c r="E25" s="20">
        <v>1</v>
      </c>
      <c r="F25" s="27" t="s">
        <v>1250</v>
      </c>
      <c r="G25" s="36">
        <v>1300</v>
      </c>
      <c r="H25" s="24">
        <v>1300</v>
      </c>
      <c r="I25" s="39"/>
      <c r="J25" s="22" t="s">
        <v>1032</v>
      </c>
      <c r="K25" s="39"/>
    </row>
    <row r="26" spans="1:11" s="19" customFormat="1" ht="89.25" hidden="1">
      <c r="A26" s="25" t="s">
        <v>13</v>
      </c>
      <c r="B26" s="21" t="s">
        <v>1182</v>
      </c>
      <c r="C26" s="20">
        <v>393</v>
      </c>
      <c r="D26" s="20" t="s">
        <v>1251</v>
      </c>
      <c r="E26" s="20">
        <v>6</v>
      </c>
      <c r="F26" s="20" t="s">
        <v>1099</v>
      </c>
      <c r="G26" s="24">
        <v>1300</v>
      </c>
      <c r="H26" s="24">
        <v>7800</v>
      </c>
      <c r="I26" s="39"/>
      <c r="J26" s="22" t="s">
        <v>1055</v>
      </c>
      <c r="K26" s="39"/>
    </row>
    <row r="27" spans="1:11" s="19" customFormat="1" ht="77.25" hidden="1">
      <c r="A27" s="20" t="s">
        <v>13</v>
      </c>
      <c r="B27" s="37" t="s">
        <v>1100</v>
      </c>
      <c r="C27" s="20">
        <v>394</v>
      </c>
      <c r="D27" s="20" t="s">
        <v>1252</v>
      </c>
      <c r="E27" s="20">
        <v>1</v>
      </c>
      <c r="F27" s="20" t="s">
        <v>1004</v>
      </c>
      <c r="G27" s="24">
        <v>1300</v>
      </c>
      <c r="H27" s="24">
        <v>1300</v>
      </c>
      <c r="I27" s="39"/>
      <c r="J27" s="22" t="s">
        <v>1060</v>
      </c>
      <c r="K27" s="39"/>
    </row>
    <row r="28" spans="1:11" s="19" customFormat="1" ht="77.25" hidden="1">
      <c r="A28" s="20" t="s">
        <v>13</v>
      </c>
      <c r="B28" s="21" t="s">
        <v>1397</v>
      </c>
      <c r="C28" s="20">
        <v>395</v>
      </c>
      <c r="D28" s="20" t="s">
        <v>1253</v>
      </c>
      <c r="E28" s="20">
        <v>1</v>
      </c>
      <c r="F28" s="27" t="s">
        <v>1254</v>
      </c>
      <c r="G28" s="35">
        <v>980</v>
      </c>
      <c r="H28" s="24">
        <v>980</v>
      </c>
      <c r="I28" s="39"/>
      <c r="J28" s="22" t="s">
        <v>1068</v>
      </c>
      <c r="K28" s="39"/>
    </row>
    <row r="29" spans="1:11" s="19" customFormat="1" ht="77.25" hidden="1">
      <c r="A29" s="20" t="s">
        <v>13</v>
      </c>
      <c r="B29" s="21" t="s">
        <v>1111</v>
      </c>
      <c r="C29" s="20">
        <v>396</v>
      </c>
      <c r="D29" s="20" t="s">
        <v>1255</v>
      </c>
      <c r="E29" s="20">
        <v>1</v>
      </c>
      <c r="F29" s="27" t="s">
        <v>1027</v>
      </c>
      <c r="G29" s="24">
        <v>1300</v>
      </c>
      <c r="H29" s="24">
        <v>1300</v>
      </c>
      <c r="I29" s="39"/>
      <c r="J29" s="22" t="s">
        <v>1069</v>
      </c>
      <c r="K29" s="39"/>
    </row>
    <row r="30" spans="1:11" s="19" customFormat="1" ht="77.25" hidden="1">
      <c r="A30" s="25" t="s">
        <v>13</v>
      </c>
      <c r="B30" s="26" t="s">
        <v>1394</v>
      </c>
      <c r="C30" s="20">
        <v>397</v>
      </c>
      <c r="D30" s="34" t="s">
        <v>1256</v>
      </c>
      <c r="E30" s="20">
        <v>1</v>
      </c>
      <c r="F30" s="22" t="s">
        <v>1142</v>
      </c>
      <c r="G30" s="32">
        <v>980</v>
      </c>
      <c r="H30" s="24">
        <v>980</v>
      </c>
      <c r="I30" s="40">
        <v>45709</v>
      </c>
      <c r="J30" s="22" t="s">
        <v>1143</v>
      </c>
      <c r="K30" s="39"/>
    </row>
    <row r="31" spans="1:11" s="19" customFormat="1" ht="77.25" hidden="1">
      <c r="A31" s="25" t="s">
        <v>13</v>
      </c>
      <c r="B31" s="26" t="s">
        <v>1257</v>
      </c>
      <c r="C31" s="20">
        <v>398</v>
      </c>
      <c r="D31" s="34" t="s">
        <v>1258</v>
      </c>
      <c r="E31" s="20">
        <v>2</v>
      </c>
      <c r="F31" s="22" t="s">
        <v>1146</v>
      </c>
      <c r="G31" s="32" t="s">
        <v>1147</v>
      </c>
      <c r="H31" s="24">
        <v>2050</v>
      </c>
      <c r="I31" s="40"/>
      <c r="J31" s="22" t="s">
        <v>1143</v>
      </c>
      <c r="K31" s="39"/>
    </row>
    <row r="32" spans="1:11" s="19" customFormat="1" ht="77.25" hidden="1">
      <c r="A32" s="25" t="s">
        <v>13</v>
      </c>
      <c r="B32" s="26" t="s">
        <v>1391</v>
      </c>
      <c r="C32" s="20">
        <v>411</v>
      </c>
      <c r="D32" s="20" t="s">
        <v>1200</v>
      </c>
      <c r="E32" s="20">
        <v>2</v>
      </c>
      <c r="F32" s="27" t="s">
        <v>1259</v>
      </c>
      <c r="G32" s="24">
        <v>980</v>
      </c>
      <c r="H32" s="24">
        <v>1960</v>
      </c>
      <c r="I32" s="40"/>
      <c r="J32" s="22" t="s">
        <v>1226</v>
      </c>
      <c r="K32" s="39"/>
    </row>
    <row r="33" spans="1:12" s="19" customFormat="1" ht="77.25" hidden="1">
      <c r="A33" s="25" t="s">
        <v>13</v>
      </c>
      <c r="B33" s="26" t="s">
        <v>1260</v>
      </c>
      <c r="C33" s="20">
        <v>420</v>
      </c>
      <c r="D33" s="20" t="s">
        <v>1261</v>
      </c>
      <c r="E33" s="20">
        <v>1</v>
      </c>
      <c r="F33" s="27" t="s">
        <v>1262</v>
      </c>
      <c r="G33" s="24">
        <v>1300</v>
      </c>
      <c r="H33" s="24">
        <v>1300</v>
      </c>
      <c r="I33" s="40"/>
      <c r="J33" s="22" t="s">
        <v>1226</v>
      </c>
      <c r="K33" s="39"/>
    </row>
    <row r="34" spans="1:12" s="19" customFormat="1" ht="77.25" hidden="1">
      <c r="A34" s="25" t="s">
        <v>13</v>
      </c>
      <c r="B34" s="26" t="s">
        <v>1263</v>
      </c>
      <c r="C34" s="20">
        <v>421</v>
      </c>
      <c r="D34" s="20" t="s">
        <v>1264</v>
      </c>
      <c r="E34" s="20">
        <v>1</v>
      </c>
      <c r="F34" s="27" t="s">
        <v>1265</v>
      </c>
      <c r="G34" s="24">
        <v>1300</v>
      </c>
      <c r="H34" s="24">
        <v>1300</v>
      </c>
      <c r="I34" s="40"/>
      <c r="J34" s="22" t="s">
        <v>1226</v>
      </c>
      <c r="K34" s="39"/>
    </row>
    <row r="35" spans="1:12" s="19" customFormat="1" ht="77.25" hidden="1">
      <c r="A35" s="25" t="s">
        <v>13</v>
      </c>
      <c r="B35" s="26" t="s">
        <v>1266</v>
      </c>
      <c r="C35" s="20">
        <v>422</v>
      </c>
      <c r="D35" s="20" t="s">
        <v>1267</v>
      </c>
      <c r="E35" s="20">
        <v>1</v>
      </c>
      <c r="F35" s="27" t="s">
        <v>1268</v>
      </c>
      <c r="G35" s="24">
        <v>1300</v>
      </c>
      <c r="H35" s="24">
        <v>1300</v>
      </c>
      <c r="I35" s="40"/>
      <c r="J35" s="22" t="s">
        <v>1226</v>
      </c>
      <c r="K35" s="39"/>
    </row>
    <row r="36" spans="1:12" s="19" customFormat="1" ht="77.25" hidden="1">
      <c r="A36" s="25" t="s">
        <v>13</v>
      </c>
      <c r="B36" s="26" t="s">
        <v>1269</v>
      </c>
      <c r="C36" s="20">
        <v>423</v>
      </c>
      <c r="D36" s="20" t="s">
        <v>1270</v>
      </c>
      <c r="E36" s="20">
        <v>1</v>
      </c>
      <c r="F36" s="27" t="s">
        <v>1271</v>
      </c>
      <c r="G36" s="24">
        <v>1300</v>
      </c>
      <c r="H36" s="24">
        <v>1300</v>
      </c>
      <c r="I36" s="40"/>
      <c r="J36" s="22" t="s">
        <v>1226</v>
      </c>
      <c r="K36" s="39"/>
    </row>
    <row r="37" spans="1:12" s="19" customFormat="1" ht="77.25" hidden="1">
      <c r="A37" s="25" t="s">
        <v>13</v>
      </c>
      <c r="B37" s="26" t="s">
        <v>1389</v>
      </c>
      <c r="C37" s="20">
        <v>424</v>
      </c>
      <c r="D37" s="20" t="s">
        <v>1272</v>
      </c>
      <c r="E37" s="20">
        <v>1</v>
      </c>
      <c r="F37" s="27" t="s">
        <v>1273</v>
      </c>
      <c r="G37" s="24">
        <v>1300</v>
      </c>
      <c r="H37" s="24">
        <v>1300</v>
      </c>
      <c r="I37" s="40"/>
      <c r="J37" s="22" t="s">
        <v>1226</v>
      </c>
      <c r="K37" s="39"/>
    </row>
    <row r="38" spans="1:12" hidden="1">
      <c r="A38" s="8" t="s">
        <v>165</v>
      </c>
      <c r="B38" s="10"/>
      <c r="C38" s="10"/>
      <c r="D38" s="10"/>
      <c r="E38" s="8">
        <v>33</v>
      </c>
      <c r="F38" s="10"/>
      <c r="G38" s="10"/>
      <c r="H38" s="38">
        <f>SUM(H2:H37)</f>
        <v>54870</v>
      </c>
      <c r="I38" s="16"/>
      <c r="J38" s="16"/>
      <c r="K38" s="16"/>
      <c r="L38" s="17"/>
    </row>
    <row r="1048527" spans="8:8">
      <c r="H1048527" t="e">
        <f>SUBTOTAL(9,#REF!)</f>
        <v>#REF!</v>
      </c>
    </row>
    <row r="1048565" spans="8:8">
      <c r="H1048565">
        <f>SUBTOTAL(9,H1048528:H1048564)</f>
        <v>0</v>
      </c>
    </row>
    <row r="1048567" spans="8:8">
      <c r="H1048567">
        <f>SUBTOTAL(9,H1048528:H1048566)</f>
        <v>0</v>
      </c>
    </row>
  </sheetData>
  <autoFilter ref="A1:K38" xr:uid="{00000000-0009-0000-0000-000019000000}">
    <filterColumn colId="5">
      <filters>
        <filter val="1- RUA PEROBAS, BAIRRO: PERÓBAS, CONTAGEM."/>
      </filters>
    </filterColumn>
  </autoFilter>
  <pageMargins left="0.511811023622047" right="0.511811023622047" top="0.78740157480314998" bottom="0.78740157480314998" header="0.31496062992126" footer="0.31496062992126"/>
  <pageSetup paperSize="9" scale="55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Planilha3"/>
  <dimension ref="A1:L1048562"/>
  <sheetViews>
    <sheetView workbookViewId="0">
      <selection activeCell="H45" sqref="H45"/>
    </sheetView>
  </sheetViews>
  <sheetFormatPr defaultColWidth="9" defaultRowHeight="15"/>
  <cols>
    <col min="1" max="1" width="20.140625" customWidth="1"/>
    <col min="2" max="2" width="22.140625" customWidth="1"/>
    <col min="4" max="4" width="26.140625" customWidth="1"/>
    <col min="5" max="5" width="15" customWidth="1"/>
    <col min="6" max="6" width="23.28515625" customWidth="1"/>
    <col min="7" max="7" width="14.28515625" customWidth="1"/>
    <col min="8" max="8" width="14.5703125" customWidth="1"/>
    <col min="9" max="9" width="17" customWidth="1"/>
    <col min="10" max="10" width="30.42578125" customWidth="1"/>
    <col min="11" max="11" width="36.140625" customWidth="1"/>
  </cols>
  <sheetData>
    <row r="1" spans="1:11" ht="47.25" customHeight="1">
      <c r="A1" s="5" t="s">
        <v>0</v>
      </c>
      <c r="B1" s="7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954</v>
      </c>
      <c r="H1" s="7" t="s">
        <v>955</v>
      </c>
      <c r="I1" s="7" t="s">
        <v>10</v>
      </c>
      <c r="J1" s="14" t="s">
        <v>12</v>
      </c>
      <c r="K1" s="15" t="s">
        <v>956</v>
      </c>
    </row>
    <row r="2" spans="1:11" s="19" customFormat="1" ht="111.75" customHeight="1">
      <c r="A2" s="20" t="s">
        <v>13</v>
      </c>
      <c r="B2" s="21" t="s">
        <v>1274</v>
      </c>
      <c r="C2" s="20">
        <v>467</v>
      </c>
      <c r="D2" s="20" t="s">
        <v>1275</v>
      </c>
      <c r="E2" s="20">
        <v>1</v>
      </c>
      <c r="F2" s="22" t="s">
        <v>1276</v>
      </c>
      <c r="G2" s="23">
        <v>980</v>
      </c>
      <c r="H2" s="24">
        <v>980</v>
      </c>
      <c r="I2" s="39"/>
      <c r="J2" s="22" t="s">
        <v>1277</v>
      </c>
      <c r="K2" s="39"/>
    </row>
    <row r="3" spans="1:11" s="19" customFormat="1" ht="111.75" customHeight="1">
      <c r="A3" s="20" t="s">
        <v>13</v>
      </c>
      <c r="B3" s="21" t="s">
        <v>1278</v>
      </c>
      <c r="C3" s="20">
        <v>468</v>
      </c>
      <c r="D3" s="20" t="s">
        <v>1279</v>
      </c>
      <c r="E3" s="20">
        <v>1</v>
      </c>
      <c r="F3" s="22" t="s">
        <v>1280</v>
      </c>
      <c r="G3" s="23">
        <v>980</v>
      </c>
      <c r="H3" s="24">
        <v>980</v>
      </c>
      <c r="I3" s="39"/>
      <c r="J3" s="22" t="s">
        <v>1277</v>
      </c>
      <c r="K3" s="39"/>
    </row>
    <row r="4" spans="1:11" s="19" customFormat="1" ht="111.75" customHeight="1">
      <c r="A4" s="20" t="s">
        <v>13</v>
      </c>
      <c r="B4" s="21" t="s">
        <v>1281</v>
      </c>
      <c r="C4" s="20">
        <v>507</v>
      </c>
      <c r="D4" s="20" t="s">
        <v>1282</v>
      </c>
      <c r="E4" s="20">
        <v>2</v>
      </c>
      <c r="F4" s="22" t="s">
        <v>1283</v>
      </c>
      <c r="G4" s="23">
        <v>1500</v>
      </c>
      <c r="H4" s="24">
        <v>3000</v>
      </c>
      <c r="I4" s="39"/>
      <c r="J4" s="22" t="s">
        <v>1277</v>
      </c>
      <c r="K4" s="39"/>
    </row>
    <row r="5" spans="1:11" s="19" customFormat="1" ht="111.75" customHeight="1">
      <c r="A5" s="20" t="s">
        <v>13</v>
      </c>
      <c r="B5" s="21" t="s">
        <v>1284</v>
      </c>
      <c r="C5" s="20">
        <v>469</v>
      </c>
      <c r="D5" s="20" t="s">
        <v>1285</v>
      </c>
      <c r="E5" s="20">
        <v>2</v>
      </c>
      <c r="F5" s="22" t="s">
        <v>1286</v>
      </c>
      <c r="G5" s="24">
        <v>1300</v>
      </c>
      <c r="H5" s="24">
        <v>2600</v>
      </c>
      <c r="I5" s="39"/>
      <c r="J5" s="22" t="s">
        <v>1287</v>
      </c>
      <c r="K5" s="39"/>
    </row>
    <row r="6" spans="1:11" s="19" customFormat="1" ht="111.75" customHeight="1">
      <c r="A6" s="20" t="s">
        <v>13</v>
      </c>
      <c r="B6" s="21"/>
      <c r="C6" s="20">
        <v>470</v>
      </c>
      <c r="D6" s="20" t="s">
        <v>1288</v>
      </c>
      <c r="E6" s="20">
        <v>1</v>
      </c>
      <c r="F6" s="22" t="s">
        <v>1289</v>
      </c>
      <c r="G6" s="24">
        <v>1300</v>
      </c>
      <c r="H6" s="24">
        <v>1300</v>
      </c>
      <c r="I6" s="39"/>
      <c r="J6" s="22" t="s">
        <v>1287</v>
      </c>
      <c r="K6" s="39"/>
    </row>
    <row r="7" spans="1:11" s="19" customFormat="1" ht="80.25" customHeight="1">
      <c r="A7" s="25" t="s">
        <v>13</v>
      </c>
      <c r="B7" s="26" t="s">
        <v>1290</v>
      </c>
      <c r="C7" s="20">
        <v>472</v>
      </c>
      <c r="D7" s="20" t="s">
        <v>1291</v>
      </c>
      <c r="E7" s="20">
        <v>1</v>
      </c>
      <c r="F7" s="27" t="s">
        <v>1292</v>
      </c>
      <c r="G7" s="24">
        <v>980</v>
      </c>
      <c r="H7" s="24">
        <v>980</v>
      </c>
      <c r="I7" s="40">
        <v>45776</v>
      </c>
      <c r="J7" s="22" t="s">
        <v>1226</v>
      </c>
      <c r="K7" s="39"/>
    </row>
    <row r="8" spans="1:11" s="19" customFormat="1" ht="128.25">
      <c r="A8" s="20" t="s">
        <v>13</v>
      </c>
      <c r="B8" s="21" t="s">
        <v>1293</v>
      </c>
      <c r="C8" s="20">
        <v>474</v>
      </c>
      <c r="D8" s="20" t="s">
        <v>1294</v>
      </c>
      <c r="E8" s="20">
        <v>1</v>
      </c>
      <c r="F8" s="22" t="s">
        <v>1194</v>
      </c>
      <c r="G8" s="24">
        <v>1300</v>
      </c>
      <c r="H8" s="24">
        <v>1300</v>
      </c>
      <c r="I8" s="39"/>
      <c r="J8" s="22" t="s">
        <v>1055</v>
      </c>
      <c r="K8" s="39"/>
    </row>
    <row r="9" spans="1:11" s="19" customFormat="1" ht="128.25">
      <c r="A9" s="20" t="s">
        <v>13</v>
      </c>
      <c r="B9" s="21" t="s">
        <v>1192</v>
      </c>
      <c r="C9" s="20">
        <v>475</v>
      </c>
      <c r="D9" s="20" t="s">
        <v>1295</v>
      </c>
      <c r="E9" s="20">
        <v>1</v>
      </c>
      <c r="F9" s="22" t="s">
        <v>1196</v>
      </c>
      <c r="G9" s="24">
        <v>1300</v>
      </c>
      <c r="H9" s="24">
        <v>1300</v>
      </c>
      <c r="I9" s="39"/>
      <c r="J9" s="22" t="s">
        <v>1055</v>
      </c>
      <c r="K9" s="39"/>
    </row>
    <row r="10" spans="1:11" s="19" customFormat="1" ht="128.25">
      <c r="A10" s="20" t="s">
        <v>13</v>
      </c>
      <c r="B10" s="21" t="s">
        <v>1192</v>
      </c>
      <c r="C10" s="20">
        <v>477</v>
      </c>
      <c r="D10" s="20" t="s">
        <v>1296</v>
      </c>
      <c r="E10" s="20">
        <v>1</v>
      </c>
      <c r="F10" s="22" t="s">
        <v>1198</v>
      </c>
      <c r="G10" s="24">
        <v>1300</v>
      </c>
      <c r="H10" s="24">
        <v>1300</v>
      </c>
      <c r="I10" s="39"/>
      <c r="J10" s="22" t="s">
        <v>1055</v>
      </c>
      <c r="K10" s="39"/>
    </row>
    <row r="11" spans="1:11" s="19" customFormat="1" ht="128.25">
      <c r="A11" s="25" t="s">
        <v>13</v>
      </c>
      <c r="B11" s="28" t="s">
        <v>1199</v>
      </c>
      <c r="C11" s="20">
        <v>478</v>
      </c>
      <c r="D11" s="20" t="s">
        <v>1297</v>
      </c>
      <c r="E11" s="20">
        <v>1</v>
      </c>
      <c r="F11" s="20" t="s">
        <v>983</v>
      </c>
      <c r="G11" s="24">
        <v>1300</v>
      </c>
      <c r="H11" s="24">
        <v>1300</v>
      </c>
      <c r="I11" s="41"/>
      <c r="J11" s="22" t="s">
        <v>1032</v>
      </c>
      <c r="K11" s="39"/>
    </row>
    <row r="12" spans="1:11" s="19" customFormat="1" ht="128.25">
      <c r="A12" s="25" t="s">
        <v>13</v>
      </c>
      <c r="B12" s="26" t="s">
        <v>1388</v>
      </c>
      <c r="C12" s="29" t="s">
        <v>1298</v>
      </c>
      <c r="D12" s="20" t="s">
        <v>1299</v>
      </c>
      <c r="E12" s="20">
        <v>2</v>
      </c>
      <c r="F12" s="27" t="s">
        <v>1300</v>
      </c>
      <c r="G12" s="23">
        <v>1300</v>
      </c>
      <c r="H12" s="23">
        <v>2600</v>
      </c>
      <c r="I12" s="40">
        <v>45663</v>
      </c>
      <c r="J12" s="22" t="s">
        <v>1213</v>
      </c>
      <c r="K12" s="39"/>
    </row>
    <row r="13" spans="1:11" s="19" customFormat="1" ht="128.25">
      <c r="A13" s="25" t="s">
        <v>13</v>
      </c>
      <c r="B13" s="26" t="s">
        <v>1214</v>
      </c>
      <c r="C13" s="20">
        <v>480</v>
      </c>
      <c r="D13" s="20" t="s">
        <v>1301</v>
      </c>
      <c r="E13" s="20">
        <v>1</v>
      </c>
      <c r="F13" s="20" t="s">
        <v>1216</v>
      </c>
      <c r="G13" s="30">
        <v>980</v>
      </c>
      <c r="H13" s="24">
        <v>980</v>
      </c>
      <c r="I13" s="39"/>
      <c r="J13" s="22" t="s">
        <v>1217</v>
      </c>
      <c r="K13" s="39"/>
    </row>
    <row r="14" spans="1:11" s="19" customFormat="1" ht="128.25">
      <c r="A14" s="25" t="s">
        <v>13</v>
      </c>
      <c r="B14" s="26" t="s">
        <v>1220</v>
      </c>
      <c r="C14" s="20">
        <v>483</v>
      </c>
      <c r="D14" s="20" t="s">
        <v>1302</v>
      </c>
      <c r="E14" s="20">
        <v>1</v>
      </c>
      <c r="F14" s="31" t="s">
        <v>1222</v>
      </c>
      <c r="G14" s="24">
        <v>1300</v>
      </c>
      <c r="H14" s="24">
        <v>1300</v>
      </c>
      <c r="I14" s="40">
        <v>45665</v>
      </c>
      <c r="J14" s="22" t="s">
        <v>1223</v>
      </c>
      <c r="K14" s="39"/>
    </row>
    <row r="15" spans="1:11" s="19" customFormat="1" ht="128.25">
      <c r="A15" s="25" t="s">
        <v>13</v>
      </c>
      <c r="B15" s="26" t="s">
        <v>1356</v>
      </c>
      <c r="C15" s="20">
        <v>484</v>
      </c>
      <c r="D15" s="20" t="s">
        <v>1297</v>
      </c>
      <c r="E15" s="20">
        <v>3</v>
      </c>
      <c r="F15" s="27" t="s">
        <v>1225</v>
      </c>
      <c r="G15" s="24">
        <v>980</v>
      </c>
      <c r="H15" s="24">
        <v>2940</v>
      </c>
      <c r="I15" s="40">
        <v>45663</v>
      </c>
      <c r="J15" s="22" t="s">
        <v>1226</v>
      </c>
      <c r="K15" s="39"/>
    </row>
    <row r="16" spans="1:11" s="19" customFormat="1" ht="128.25">
      <c r="A16" s="25" t="s">
        <v>13</v>
      </c>
      <c r="B16" s="21" t="s">
        <v>1229</v>
      </c>
      <c r="C16" s="20">
        <v>486</v>
      </c>
      <c r="D16" s="20" t="s">
        <v>1303</v>
      </c>
      <c r="E16" s="20">
        <v>1</v>
      </c>
      <c r="F16" s="20" t="s">
        <v>1231</v>
      </c>
      <c r="G16" s="32">
        <v>980</v>
      </c>
      <c r="H16" s="33">
        <v>980</v>
      </c>
      <c r="I16" s="39"/>
      <c r="J16" s="22" t="s">
        <v>1158</v>
      </c>
      <c r="K16" s="39"/>
    </row>
    <row r="17" spans="1:12" s="19" customFormat="1" ht="128.25">
      <c r="A17" s="25" t="s">
        <v>13</v>
      </c>
      <c r="B17" s="21" t="s">
        <v>1237</v>
      </c>
      <c r="C17" s="20">
        <v>489</v>
      </c>
      <c r="D17" s="20" t="s">
        <v>1304</v>
      </c>
      <c r="E17" s="20">
        <v>1</v>
      </c>
      <c r="F17" s="27" t="s">
        <v>1239</v>
      </c>
      <c r="G17" s="32">
        <v>1300</v>
      </c>
      <c r="H17" s="24">
        <v>1300</v>
      </c>
      <c r="I17" s="39"/>
      <c r="J17" s="22" t="s">
        <v>1032</v>
      </c>
      <c r="K17" s="39"/>
    </row>
    <row r="18" spans="1:12" s="19" customFormat="1" ht="128.25">
      <c r="A18" s="20" t="s">
        <v>73</v>
      </c>
      <c r="B18" s="20" t="s">
        <v>1080</v>
      </c>
      <c r="C18" s="20">
        <v>490</v>
      </c>
      <c r="D18" s="34" t="s">
        <v>1305</v>
      </c>
      <c r="E18" s="20">
        <v>1</v>
      </c>
      <c r="F18" s="20" t="s">
        <v>969</v>
      </c>
      <c r="G18" s="35">
        <v>600</v>
      </c>
      <c r="H18" s="35">
        <v>600</v>
      </c>
      <c r="I18" s="39"/>
      <c r="J18" s="22" t="s">
        <v>1032</v>
      </c>
      <c r="K18" s="39"/>
    </row>
    <row r="19" spans="1:12" s="19" customFormat="1" ht="128.25">
      <c r="A19" s="20" t="s">
        <v>13</v>
      </c>
      <c r="B19" s="20" t="s">
        <v>1242</v>
      </c>
      <c r="C19" s="20">
        <v>492</v>
      </c>
      <c r="D19" s="20" t="s">
        <v>1306</v>
      </c>
      <c r="E19" s="20">
        <v>1</v>
      </c>
      <c r="F19" s="27" t="s">
        <v>1244</v>
      </c>
      <c r="G19" s="23">
        <v>1300</v>
      </c>
      <c r="H19" s="24">
        <v>1300</v>
      </c>
      <c r="I19" s="39"/>
      <c r="J19" s="22" t="s">
        <v>1032</v>
      </c>
      <c r="K19" s="39"/>
    </row>
    <row r="20" spans="1:12" s="19" customFormat="1" ht="128.25">
      <c r="A20" s="20" t="s">
        <v>13</v>
      </c>
      <c r="B20" s="20" t="s">
        <v>1242</v>
      </c>
      <c r="C20" s="20">
        <v>493</v>
      </c>
      <c r="D20" s="20" t="s">
        <v>1307</v>
      </c>
      <c r="E20" s="20">
        <v>1</v>
      </c>
      <c r="F20" s="27" t="s">
        <v>1246</v>
      </c>
      <c r="G20" s="23">
        <v>1300</v>
      </c>
      <c r="H20" s="24">
        <v>1300</v>
      </c>
      <c r="I20" s="39"/>
      <c r="J20" s="22" t="s">
        <v>1032</v>
      </c>
      <c r="K20" s="39"/>
    </row>
    <row r="21" spans="1:12" s="19" customFormat="1" ht="128.25">
      <c r="A21" s="20" t="s">
        <v>13</v>
      </c>
      <c r="B21" s="20" t="s">
        <v>1242</v>
      </c>
      <c r="C21" s="20">
        <v>494</v>
      </c>
      <c r="D21" s="20" t="s">
        <v>1308</v>
      </c>
      <c r="E21" s="20">
        <v>1</v>
      </c>
      <c r="F21" s="27" t="s">
        <v>1248</v>
      </c>
      <c r="G21" s="36">
        <v>800</v>
      </c>
      <c r="H21" s="24">
        <v>800</v>
      </c>
      <c r="I21" s="39"/>
      <c r="J21" s="22" t="s">
        <v>1032</v>
      </c>
      <c r="K21" s="39"/>
    </row>
    <row r="22" spans="1:12" s="19" customFormat="1" ht="128.25">
      <c r="A22" s="25" t="s">
        <v>13</v>
      </c>
      <c r="B22" s="21" t="s">
        <v>1182</v>
      </c>
      <c r="C22" s="20">
        <v>482</v>
      </c>
      <c r="D22" s="20" t="s">
        <v>1309</v>
      </c>
      <c r="E22" s="20">
        <v>6</v>
      </c>
      <c r="F22" s="20" t="s">
        <v>1099</v>
      </c>
      <c r="G22" s="24">
        <v>1300</v>
      </c>
      <c r="H22" s="24">
        <v>7800</v>
      </c>
      <c r="I22" s="39"/>
      <c r="J22" s="22" t="s">
        <v>1055</v>
      </c>
      <c r="K22" s="39"/>
    </row>
    <row r="23" spans="1:12" s="19" customFormat="1" ht="128.25">
      <c r="A23" s="20" t="s">
        <v>13</v>
      </c>
      <c r="B23" s="37" t="s">
        <v>1100</v>
      </c>
      <c r="C23" s="20">
        <v>495</v>
      </c>
      <c r="D23" s="20" t="s">
        <v>1310</v>
      </c>
      <c r="E23" s="20">
        <v>1</v>
      </c>
      <c r="F23" s="20" t="s">
        <v>1004</v>
      </c>
      <c r="G23" s="24">
        <v>1300</v>
      </c>
      <c r="H23" s="24">
        <v>1300</v>
      </c>
      <c r="I23" s="39"/>
      <c r="J23" s="22" t="s">
        <v>1060</v>
      </c>
      <c r="K23" s="39"/>
    </row>
    <row r="24" spans="1:12" s="19" customFormat="1" ht="128.25">
      <c r="A24" s="20" t="s">
        <v>13</v>
      </c>
      <c r="B24" s="21" t="s">
        <v>1111</v>
      </c>
      <c r="C24" s="20">
        <v>497</v>
      </c>
      <c r="D24" s="20" t="s">
        <v>1311</v>
      </c>
      <c r="E24" s="20">
        <v>1</v>
      </c>
      <c r="F24" s="27" t="s">
        <v>1027</v>
      </c>
      <c r="G24" s="24">
        <v>1300</v>
      </c>
      <c r="H24" s="24">
        <v>1300</v>
      </c>
      <c r="I24" s="39"/>
      <c r="J24" s="22" t="s">
        <v>1069</v>
      </c>
      <c r="K24" s="39"/>
    </row>
    <row r="25" spans="1:12" s="19" customFormat="1" ht="128.25">
      <c r="A25" s="25" t="s">
        <v>13</v>
      </c>
      <c r="B25" s="26" t="s">
        <v>1392</v>
      </c>
      <c r="C25" s="20">
        <v>498</v>
      </c>
      <c r="D25" s="34" t="s">
        <v>1312</v>
      </c>
      <c r="E25" s="20">
        <v>1</v>
      </c>
      <c r="F25" s="22" t="s">
        <v>1142</v>
      </c>
      <c r="G25" s="32">
        <v>980</v>
      </c>
      <c r="H25" s="24">
        <v>980</v>
      </c>
      <c r="I25" s="40">
        <v>45709</v>
      </c>
      <c r="J25" s="22" t="s">
        <v>1143</v>
      </c>
      <c r="K25" s="39"/>
    </row>
    <row r="26" spans="1:12" s="19" customFormat="1" ht="128.25">
      <c r="A26" s="25" t="s">
        <v>13</v>
      </c>
      <c r="B26" s="26" t="s">
        <v>1257</v>
      </c>
      <c r="C26" s="20">
        <v>499</v>
      </c>
      <c r="D26" s="34" t="s">
        <v>1313</v>
      </c>
      <c r="E26" s="20">
        <v>2</v>
      </c>
      <c r="F26" s="22" t="s">
        <v>1146</v>
      </c>
      <c r="G26" s="32" t="s">
        <v>1147</v>
      </c>
      <c r="H26" s="24">
        <v>2050</v>
      </c>
      <c r="I26" s="40"/>
      <c r="J26" s="22" t="s">
        <v>1143</v>
      </c>
      <c r="K26" s="39"/>
    </row>
    <row r="27" spans="1:12" s="19" customFormat="1" ht="128.25">
      <c r="A27" s="25" t="s">
        <v>13</v>
      </c>
      <c r="B27" s="26" t="s">
        <v>1314</v>
      </c>
      <c r="C27" s="20">
        <v>501</v>
      </c>
      <c r="D27" s="20" t="s">
        <v>1315</v>
      </c>
      <c r="E27" s="20">
        <v>1</v>
      </c>
      <c r="F27" s="27" t="s">
        <v>1262</v>
      </c>
      <c r="G27" s="24">
        <v>1300</v>
      </c>
      <c r="H27" s="24">
        <v>1300</v>
      </c>
      <c r="I27" s="40"/>
      <c r="J27" s="22" t="s">
        <v>1226</v>
      </c>
      <c r="K27" s="39"/>
    </row>
    <row r="28" spans="1:12" s="19" customFormat="1" ht="128.25">
      <c r="A28" s="25" t="s">
        <v>13</v>
      </c>
      <c r="B28" s="26" t="s">
        <v>1263</v>
      </c>
      <c r="C28" s="20">
        <v>502</v>
      </c>
      <c r="D28" s="20" t="s">
        <v>1316</v>
      </c>
      <c r="E28" s="20">
        <v>1</v>
      </c>
      <c r="F28" s="27" t="s">
        <v>1265</v>
      </c>
      <c r="G28" s="24">
        <v>1300</v>
      </c>
      <c r="H28" s="24">
        <v>1300</v>
      </c>
      <c r="I28" s="40"/>
      <c r="J28" s="22" t="s">
        <v>1226</v>
      </c>
      <c r="K28" s="39"/>
    </row>
    <row r="29" spans="1:12" s="19" customFormat="1" ht="128.25">
      <c r="A29" s="25" t="s">
        <v>13</v>
      </c>
      <c r="B29" s="26" t="s">
        <v>1317</v>
      </c>
      <c r="C29" s="20">
        <v>503</v>
      </c>
      <c r="D29" s="20" t="s">
        <v>1318</v>
      </c>
      <c r="E29" s="20">
        <v>1</v>
      </c>
      <c r="F29" s="27" t="s">
        <v>1268</v>
      </c>
      <c r="G29" s="24">
        <v>1300</v>
      </c>
      <c r="H29" s="24">
        <v>1300</v>
      </c>
      <c r="I29" s="40"/>
      <c r="J29" s="22" t="s">
        <v>1226</v>
      </c>
      <c r="K29" s="39"/>
    </row>
    <row r="30" spans="1:12" s="19" customFormat="1" ht="128.25">
      <c r="A30" s="25" t="s">
        <v>13</v>
      </c>
      <c r="B30" s="26" t="s">
        <v>1269</v>
      </c>
      <c r="C30" s="20">
        <v>504</v>
      </c>
      <c r="D30" s="20" t="s">
        <v>1319</v>
      </c>
      <c r="E30" s="20">
        <v>1</v>
      </c>
      <c r="F30" s="27" t="s">
        <v>1271</v>
      </c>
      <c r="G30" s="24">
        <v>1300</v>
      </c>
      <c r="H30" s="24">
        <v>1300</v>
      </c>
      <c r="I30" s="40"/>
      <c r="J30" s="22" t="s">
        <v>1226</v>
      </c>
      <c r="K30" s="39"/>
    </row>
    <row r="31" spans="1:12">
      <c r="A31" s="8" t="s">
        <v>165</v>
      </c>
      <c r="B31" s="10"/>
      <c r="C31" s="10"/>
      <c r="D31" s="10"/>
      <c r="E31" s="8">
        <v>33</v>
      </c>
      <c r="F31" s="10"/>
      <c r="G31" s="10"/>
      <c r="H31" s="38">
        <f>SUM(H2:H30)</f>
        <v>47770</v>
      </c>
      <c r="I31" s="16"/>
      <c r="J31" s="16"/>
      <c r="K31" s="16"/>
      <c r="L31" s="17"/>
    </row>
    <row r="1048562" spans="8:8">
      <c r="H1048562" s="42">
        <f>SUM(H5:H1048561)</f>
        <v>90580</v>
      </c>
    </row>
  </sheetData>
  <autoFilter ref="A1:K31" xr:uid="{00000000-0009-0000-0000-00001A000000}"/>
  <pageMargins left="0.511811023622047" right="0.511811023622047" top="0.78740157480314998" bottom="0.78740157480314998" header="0.31496062992126" footer="0.31496062992126"/>
  <pageSetup paperSize="9" scale="65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Planilha4" filterMode="1"/>
  <dimension ref="A1:L1048576"/>
  <sheetViews>
    <sheetView workbookViewId="0">
      <selection activeCell="F29" sqref="F29"/>
    </sheetView>
  </sheetViews>
  <sheetFormatPr defaultColWidth="9" defaultRowHeight="15"/>
  <cols>
    <col min="1" max="1" width="20.140625" customWidth="1"/>
    <col min="2" max="2" width="22.140625" style="2" customWidth="1"/>
    <col min="4" max="4" width="26.140625" customWidth="1"/>
    <col min="5" max="5" width="15" customWidth="1"/>
    <col min="6" max="6" width="23.28515625" style="3" customWidth="1"/>
    <col min="7" max="7" width="14.28515625" style="4" customWidth="1"/>
    <col min="8" max="8" width="14.5703125" style="3" customWidth="1"/>
    <col min="9" max="9" width="17" customWidth="1"/>
    <col min="10" max="10" width="30.42578125" customWidth="1"/>
    <col min="11" max="11" width="36.140625" customWidth="1"/>
  </cols>
  <sheetData>
    <row r="1" spans="1:12" ht="47.25" customHeight="1">
      <c r="A1" s="5" t="s">
        <v>0</v>
      </c>
      <c r="B1" s="6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954</v>
      </c>
      <c r="H1" s="7" t="s">
        <v>955</v>
      </c>
      <c r="I1" s="7" t="s">
        <v>10</v>
      </c>
      <c r="J1" s="14" t="s">
        <v>12</v>
      </c>
      <c r="K1" s="15" t="s">
        <v>956</v>
      </c>
    </row>
    <row r="2" spans="1:12" s="19" customFormat="1" ht="126.95" hidden="1" customHeight="1">
      <c r="A2" s="112" t="s">
        <v>13</v>
      </c>
      <c r="B2" s="112"/>
      <c r="C2" s="112">
        <v>528</v>
      </c>
      <c r="D2" s="112" t="s">
        <v>1320</v>
      </c>
      <c r="E2" s="112">
        <v>2</v>
      </c>
      <c r="F2" s="112" t="s">
        <v>1283</v>
      </c>
      <c r="G2" s="113">
        <v>1500</v>
      </c>
      <c r="H2" s="113">
        <v>3000</v>
      </c>
      <c r="I2" s="114"/>
      <c r="J2" s="112" t="s">
        <v>1277</v>
      </c>
      <c r="K2" s="114"/>
      <c r="L2" s="115"/>
    </row>
    <row r="3" spans="1:12" s="19" customFormat="1" ht="120.95" hidden="1" customHeight="1">
      <c r="A3" s="123" t="s">
        <v>13</v>
      </c>
      <c r="B3" s="112">
        <v>4</v>
      </c>
      <c r="C3" s="112">
        <v>529</v>
      </c>
      <c r="D3" s="112" t="s">
        <v>1321</v>
      </c>
      <c r="E3" s="112">
        <v>1</v>
      </c>
      <c r="F3" s="112" t="s">
        <v>1289</v>
      </c>
      <c r="G3" s="116">
        <v>1300</v>
      </c>
      <c r="H3" s="113">
        <v>1300</v>
      </c>
      <c r="I3" s="114"/>
      <c r="J3" s="112" t="s">
        <v>1287</v>
      </c>
      <c r="K3" s="114"/>
      <c r="L3" s="115"/>
    </row>
    <row r="4" spans="1:12" s="19" customFormat="1" ht="125.1" hidden="1" customHeight="1">
      <c r="A4" s="121" t="s">
        <v>13</v>
      </c>
      <c r="B4" s="112" t="s">
        <v>1290</v>
      </c>
      <c r="C4" s="112">
        <v>530</v>
      </c>
      <c r="D4" s="112" t="s">
        <v>1322</v>
      </c>
      <c r="E4" s="112">
        <v>1</v>
      </c>
      <c r="F4" s="112" t="s">
        <v>1292</v>
      </c>
      <c r="G4" s="116">
        <v>980</v>
      </c>
      <c r="H4" s="113">
        <v>980</v>
      </c>
      <c r="I4" s="117">
        <v>45776</v>
      </c>
      <c r="J4" s="112" t="s">
        <v>1226</v>
      </c>
      <c r="K4" s="114"/>
      <c r="L4" s="115"/>
    </row>
    <row r="5" spans="1:12" s="19" customFormat="1" ht="132" hidden="1">
      <c r="A5" s="122" t="s">
        <v>13</v>
      </c>
      <c r="B5" s="122" t="s">
        <v>1293</v>
      </c>
      <c r="C5" s="122">
        <v>531</v>
      </c>
      <c r="D5" s="122" t="s">
        <v>1323</v>
      </c>
      <c r="E5" s="122">
        <v>1</v>
      </c>
      <c r="F5" s="122" t="s">
        <v>1324</v>
      </c>
      <c r="G5" s="124">
        <v>1300</v>
      </c>
      <c r="H5" s="125">
        <v>1300</v>
      </c>
      <c r="I5" s="126"/>
      <c r="J5" s="122" t="s">
        <v>1055</v>
      </c>
      <c r="K5" s="126"/>
      <c r="L5" s="115"/>
    </row>
    <row r="6" spans="1:12" s="19" customFormat="1" ht="132" hidden="1">
      <c r="A6" s="112" t="s">
        <v>13</v>
      </c>
      <c r="B6" s="112" t="s">
        <v>1192</v>
      </c>
      <c r="C6" s="112">
        <v>532</v>
      </c>
      <c r="D6" s="112" t="s">
        <v>1325</v>
      </c>
      <c r="E6" s="112">
        <v>1</v>
      </c>
      <c r="F6" s="112" t="s">
        <v>1326</v>
      </c>
      <c r="G6" s="116">
        <v>1300</v>
      </c>
      <c r="H6" s="113">
        <v>1300</v>
      </c>
      <c r="I6" s="114"/>
      <c r="J6" s="112" t="s">
        <v>1055</v>
      </c>
      <c r="K6" s="114"/>
      <c r="L6" s="115"/>
    </row>
    <row r="7" spans="1:12" s="19" customFormat="1" ht="132" hidden="1">
      <c r="A7" s="112" t="s">
        <v>13</v>
      </c>
      <c r="B7" s="112" t="s">
        <v>1192</v>
      </c>
      <c r="C7" s="112">
        <v>533</v>
      </c>
      <c r="D7" s="112" t="s">
        <v>1327</v>
      </c>
      <c r="E7" s="112">
        <v>1</v>
      </c>
      <c r="F7" s="112" t="s">
        <v>1328</v>
      </c>
      <c r="G7" s="116">
        <v>1300</v>
      </c>
      <c r="H7" s="113">
        <v>1300</v>
      </c>
      <c r="I7" s="114"/>
      <c r="J7" s="112" t="s">
        <v>1055</v>
      </c>
      <c r="K7" s="114"/>
      <c r="L7" s="115"/>
    </row>
    <row r="8" spans="1:12" s="19" customFormat="1" ht="132" hidden="1">
      <c r="A8" s="112" t="s">
        <v>13</v>
      </c>
      <c r="B8" s="112" t="s">
        <v>1329</v>
      </c>
      <c r="C8" s="112">
        <v>534</v>
      </c>
      <c r="D8" s="112" t="s">
        <v>1330</v>
      </c>
      <c r="E8" s="112">
        <v>1</v>
      </c>
      <c r="F8" s="112" t="s">
        <v>983</v>
      </c>
      <c r="G8" s="116">
        <v>1300</v>
      </c>
      <c r="H8" s="113">
        <v>1300</v>
      </c>
      <c r="I8" s="118"/>
      <c r="J8" s="112" t="s">
        <v>1032</v>
      </c>
      <c r="K8" s="114"/>
      <c r="L8" s="115"/>
    </row>
    <row r="9" spans="1:12" s="19" customFormat="1" ht="132" hidden="1">
      <c r="A9" s="123" t="s">
        <v>13</v>
      </c>
      <c r="B9" s="112" t="s">
        <v>1214</v>
      </c>
      <c r="C9" s="112">
        <v>536</v>
      </c>
      <c r="D9" s="112" t="s">
        <v>1331</v>
      </c>
      <c r="E9" s="112">
        <v>1</v>
      </c>
      <c r="F9" s="112" t="s">
        <v>1332</v>
      </c>
      <c r="G9" s="116">
        <v>980</v>
      </c>
      <c r="H9" s="113">
        <v>980</v>
      </c>
      <c r="I9" s="114"/>
      <c r="J9" s="112" t="s">
        <v>1217</v>
      </c>
      <c r="K9" s="114" t="s">
        <v>1358</v>
      </c>
      <c r="L9" s="115"/>
    </row>
    <row r="10" spans="1:12" hidden="1"/>
    <row r="11" spans="1:12" s="19" customFormat="1" ht="132">
      <c r="A11" s="112" t="s">
        <v>13</v>
      </c>
      <c r="B11" s="112" t="s">
        <v>1220</v>
      </c>
      <c r="C11" s="112">
        <v>538</v>
      </c>
      <c r="D11" s="112" t="s">
        <v>1333</v>
      </c>
      <c r="E11" s="112">
        <v>1</v>
      </c>
      <c r="F11" s="112" t="s">
        <v>1334</v>
      </c>
      <c r="G11" s="116">
        <v>1300</v>
      </c>
      <c r="H11" s="113">
        <v>1300</v>
      </c>
      <c r="I11" s="117">
        <v>45665</v>
      </c>
      <c r="J11" s="112" t="s">
        <v>1223</v>
      </c>
      <c r="K11" s="114"/>
      <c r="L11" s="115"/>
    </row>
    <row r="12" spans="1:12" hidden="1"/>
    <row r="13" spans="1:12" s="19" customFormat="1" ht="120" hidden="1">
      <c r="A13" s="122" t="s">
        <v>13</v>
      </c>
      <c r="B13" s="112" t="s">
        <v>1335</v>
      </c>
      <c r="C13" s="112">
        <v>540</v>
      </c>
      <c r="D13" s="112" t="s">
        <v>1336</v>
      </c>
      <c r="E13" s="112">
        <v>1</v>
      </c>
      <c r="F13" s="112" t="s">
        <v>1337</v>
      </c>
      <c r="G13" s="113">
        <v>980</v>
      </c>
      <c r="H13" s="113">
        <v>980</v>
      </c>
      <c r="I13" s="114"/>
      <c r="J13" s="112" t="s">
        <v>1158</v>
      </c>
      <c r="K13" s="114"/>
      <c r="L13" s="115"/>
    </row>
    <row r="14" spans="1:12" hidden="1"/>
    <row r="15" spans="1:12" s="19" customFormat="1" ht="132" hidden="1">
      <c r="A15" s="112" t="s">
        <v>13</v>
      </c>
      <c r="B15" s="112" t="s">
        <v>1237</v>
      </c>
      <c r="C15" s="112">
        <v>542</v>
      </c>
      <c r="D15" s="112" t="s">
        <v>1338</v>
      </c>
      <c r="E15" s="112">
        <v>1</v>
      </c>
      <c r="F15" s="112" t="s">
        <v>1339</v>
      </c>
      <c r="G15" s="113">
        <v>1300</v>
      </c>
      <c r="H15" s="113">
        <v>1300</v>
      </c>
      <c r="I15" s="114"/>
      <c r="J15" s="112" t="s">
        <v>1032</v>
      </c>
      <c r="K15" s="114"/>
      <c r="L15" s="115"/>
    </row>
    <row r="16" spans="1:12" s="19" customFormat="1" ht="132" hidden="1">
      <c r="A16" s="112" t="s">
        <v>73</v>
      </c>
      <c r="B16" s="112" t="s">
        <v>1080</v>
      </c>
      <c r="C16" s="112">
        <v>543</v>
      </c>
      <c r="D16" s="119" t="s">
        <v>1340</v>
      </c>
      <c r="E16" s="112">
        <v>1</v>
      </c>
      <c r="F16" s="112" t="s">
        <v>969</v>
      </c>
      <c r="G16" s="114">
        <v>600</v>
      </c>
      <c r="H16" s="120">
        <v>600</v>
      </c>
      <c r="I16" s="114"/>
      <c r="J16" s="112" t="s">
        <v>1032</v>
      </c>
      <c r="K16" s="114"/>
      <c r="L16" s="115"/>
    </row>
    <row r="17" spans="1:12" s="19" customFormat="1" ht="132" hidden="1">
      <c r="A17" s="123" t="s">
        <v>13</v>
      </c>
      <c r="B17" s="112" t="s">
        <v>1242</v>
      </c>
      <c r="C17" s="112">
        <v>544</v>
      </c>
      <c r="D17" s="112" t="s">
        <v>1341</v>
      </c>
      <c r="E17" s="112">
        <v>1</v>
      </c>
      <c r="F17" s="112" t="s">
        <v>1342</v>
      </c>
      <c r="G17" s="113">
        <v>1300</v>
      </c>
      <c r="H17" s="113">
        <v>1300</v>
      </c>
      <c r="I17" s="114"/>
      <c r="J17" s="112" t="s">
        <v>1032</v>
      </c>
      <c r="K17" s="114"/>
      <c r="L17" s="115"/>
    </row>
    <row r="18" spans="1:12" s="19" customFormat="1" ht="132" hidden="1">
      <c r="A18" s="112" t="s">
        <v>13</v>
      </c>
      <c r="B18" s="112" t="s">
        <v>1242</v>
      </c>
      <c r="C18" s="112">
        <v>545</v>
      </c>
      <c r="D18" s="112" t="s">
        <v>1343</v>
      </c>
      <c r="E18" s="112">
        <v>1</v>
      </c>
      <c r="F18" s="112" t="s">
        <v>1344</v>
      </c>
      <c r="G18" s="113">
        <v>1300</v>
      </c>
      <c r="H18" s="113">
        <v>1300</v>
      </c>
      <c r="I18" s="114"/>
      <c r="J18" s="112" t="s">
        <v>1032</v>
      </c>
      <c r="K18" s="114"/>
      <c r="L18" s="115"/>
    </row>
    <row r="19" spans="1:12" s="19" customFormat="1" ht="132" hidden="1">
      <c r="A19" s="123" t="s">
        <v>13</v>
      </c>
      <c r="B19" s="112" t="s">
        <v>1242</v>
      </c>
      <c r="C19" s="112">
        <v>546</v>
      </c>
      <c r="D19" s="112" t="s">
        <v>1345</v>
      </c>
      <c r="E19" s="112">
        <v>1</v>
      </c>
      <c r="F19" s="112" t="s">
        <v>1346</v>
      </c>
      <c r="G19" s="120">
        <v>800</v>
      </c>
      <c r="H19" s="113">
        <v>800</v>
      </c>
      <c r="I19" s="114"/>
      <c r="J19" s="112" t="s">
        <v>1032</v>
      </c>
      <c r="K19" s="114"/>
      <c r="L19" s="115"/>
    </row>
    <row r="20" spans="1:12" s="19" customFormat="1" ht="132" hidden="1">
      <c r="A20" s="112" t="s">
        <v>13</v>
      </c>
      <c r="B20" s="112" t="s">
        <v>1347</v>
      </c>
      <c r="C20" s="112">
        <v>547</v>
      </c>
      <c r="D20" s="112" t="s">
        <v>1348</v>
      </c>
      <c r="E20" s="112">
        <v>3</v>
      </c>
      <c r="F20" s="112" t="s">
        <v>1349</v>
      </c>
      <c r="G20" s="116">
        <v>1300</v>
      </c>
      <c r="H20" s="113">
        <v>3900</v>
      </c>
      <c r="I20" s="114"/>
      <c r="J20" s="112" t="s">
        <v>1055</v>
      </c>
      <c r="K20" s="114"/>
      <c r="L20" s="115"/>
    </row>
    <row r="21" spans="1:12" s="19" customFormat="1" ht="131.25" hidden="1" customHeight="1">
      <c r="A21" s="112" t="s">
        <v>13</v>
      </c>
      <c r="B21" s="112" t="s">
        <v>1100</v>
      </c>
      <c r="C21" s="112">
        <v>548</v>
      </c>
      <c r="D21" s="112" t="s">
        <v>1350</v>
      </c>
      <c r="E21" s="112">
        <v>1</v>
      </c>
      <c r="F21" s="112" t="s">
        <v>1004</v>
      </c>
      <c r="G21" s="116">
        <v>1300</v>
      </c>
      <c r="H21" s="113">
        <v>1300</v>
      </c>
      <c r="I21" s="114"/>
      <c r="J21" s="112" t="s">
        <v>1060</v>
      </c>
      <c r="K21" s="114"/>
      <c r="L21" s="115"/>
    </row>
    <row r="22" spans="1:12" hidden="1"/>
    <row r="23" spans="1:12" s="19" customFormat="1" ht="136.5" hidden="1" customHeight="1">
      <c r="A23" s="112" t="s">
        <v>13</v>
      </c>
      <c r="B23" s="112" t="s">
        <v>1111</v>
      </c>
      <c r="C23" s="112">
        <v>550</v>
      </c>
      <c r="D23" s="112" t="s">
        <v>1351</v>
      </c>
      <c r="E23" s="112">
        <v>1</v>
      </c>
      <c r="F23" s="112" t="s">
        <v>1027</v>
      </c>
      <c r="G23" s="116">
        <v>1300</v>
      </c>
      <c r="H23" s="113">
        <v>1300</v>
      </c>
      <c r="I23" s="114"/>
      <c r="J23" s="112" t="s">
        <v>1069</v>
      </c>
      <c r="K23" s="114"/>
      <c r="L23" s="115"/>
    </row>
    <row r="24" spans="1:12" ht="3.75" hidden="1" customHeight="1"/>
    <row r="25" spans="1:12" hidden="1"/>
    <row r="26" spans="1:12" s="19" customFormat="1" ht="132" hidden="1">
      <c r="A26" s="112" t="s">
        <v>13</v>
      </c>
      <c r="B26" s="112" t="s">
        <v>1314</v>
      </c>
      <c r="C26" s="112">
        <v>553</v>
      </c>
      <c r="D26" s="112" t="s">
        <v>1352</v>
      </c>
      <c r="E26" s="112">
        <v>1</v>
      </c>
      <c r="F26" s="112" t="s">
        <v>1262</v>
      </c>
      <c r="G26" s="116">
        <v>1300</v>
      </c>
      <c r="H26" s="113">
        <v>1300</v>
      </c>
      <c r="I26" s="117"/>
      <c r="J26" s="112" t="s">
        <v>1226</v>
      </c>
      <c r="K26" s="114"/>
      <c r="L26" s="115"/>
    </row>
    <row r="27" spans="1:12" s="19" customFormat="1" ht="132" hidden="1">
      <c r="A27" s="122" t="s">
        <v>13</v>
      </c>
      <c r="B27" s="112" t="s">
        <v>1357</v>
      </c>
      <c r="C27" s="112">
        <v>554</v>
      </c>
      <c r="D27" s="112" t="s">
        <v>1353</v>
      </c>
      <c r="E27" s="112">
        <v>1</v>
      </c>
      <c r="F27" s="112" t="s">
        <v>1265</v>
      </c>
      <c r="G27" s="116">
        <v>1300</v>
      </c>
      <c r="H27" s="113">
        <v>1300</v>
      </c>
      <c r="I27" s="117"/>
      <c r="J27" s="112" t="s">
        <v>1226</v>
      </c>
      <c r="K27" s="114"/>
      <c r="L27" s="115"/>
    </row>
    <row r="28" spans="1:12" s="19" customFormat="1" ht="132" hidden="1">
      <c r="A28" s="112" t="s">
        <v>13</v>
      </c>
      <c r="B28" s="112" t="s">
        <v>1399</v>
      </c>
      <c r="C28" s="112">
        <v>555</v>
      </c>
      <c r="D28" s="112" t="s">
        <v>1354</v>
      </c>
      <c r="E28" s="112">
        <v>1</v>
      </c>
      <c r="F28" s="112" t="s">
        <v>1268</v>
      </c>
      <c r="G28" s="116">
        <v>1300</v>
      </c>
      <c r="H28" s="113">
        <v>1300</v>
      </c>
      <c r="I28" s="117"/>
      <c r="J28" s="112" t="s">
        <v>1226</v>
      </c>
      <c r="K28" s="114"/>
      <c r="L28" s="115"/>
    </row>
    <row r="29" spans="1:12" s="19" customFormat="1" ht="132" hidden="1">
      <c r="A29" s="112" t="s">
        <v>13</v>
      </c>
      <c r="B29" s="112" t="s">
        <v>1269</v>
      </c>
      <c r="C29" s="112">
        <v>556</v>
      </c>
      <c r="D29" s="112" t="s">
        <v>1261</v>
      </c>
      <c r="E29" s="112">
        <v>1</v>
      </c>
      <c r="F29" s="112" t="s">
        <v>1271</v>
      </c>
      <c r="G29" s="116">
        <v>1300</v>
      </c>
      <c r="H29" s="113">
        <v>1300</v>
      </c>
      <c r="I29" s="117"/>
      <c r="J29" s="112" t="s">
        <v>1226</v>
      </c>
      <c r="K29" s="114"/>
      <c r="L29" s="115"/>
    </row>
    <row r="30" spans="1:12" hidden="1"/>
    <row r="31" spans="1:12" hidden="1">
      <c r="A31" s="8" t="s">
        <v>165</v>
      </c>
      <c r="B31" s="9"/>
      <c r="C31" s="10"/>
      <c r="D31" s="10"/>
      <c r="E31" s="8">
        <f>SUM(E26:E30)</f>
        <v>4</v>
      </c>
      <c r="F31" s="11"/>
      <c r="G31" s="12"/>
      <c r="H31" s="13">
        <f>SUM(H26:H30)</f>
        <v>5200</v>
      </c>
      <c r="I31" s="16"/>
      <c r="J31" s="16"/>
      <c r="K31" s="16"/>
      <c r="L31" s="17"/>
    </row>
    <row r="1048562" spans="8:8">
      <c r="H1048562" s="18">
        <f>SUM(H3:H1048561)</f>
        <v>32940</v>
      </c>
    </row>
    <row r="1048576" spans="8:8">
      <c r="H1048576" s="18">
        <f>SUM(H2:H1048575)</f>
        <v>68880</v>
      </c>
    </row>
  </sheetData>
  <autoFilter ref="A1:K31" xr:uid="{00000000-0009-0000-0000-00001B000000}">
    <filterColumn colId="1">
      <filters>
        <filter val="ENCARREGADO: DEMETRIUS"/>
      </filters>
    </filterColumn>
  </autoFilter>
  <pageMargins left="0.511811023622047" right="0.511811023622047" top="0.78740157480314998" bottom="0.78740157480314998" header="0.31496062992126" footer="0.31496062992126"/>
  <pageSetup paperSize="9" scale="65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55992-890A-4DF9-AFD0-9414C1BD8B3E}">
  <sheetPr codeName="Planilha5" filterMode="1"/>
  <dimension ref="A1:L16"/>
  <sheetViews>
    <sheetView workbookViewId="0">
      <selection activeCell="F12" sqref="F12"/>
    </sheetView>
  </sheetViews>
  <sheetFormatPr defaultRowHeight="15"/>
  <cols>
    <col min="1" max="1" width="17.28515625" customWidth="1"/>
    <col min="2" max="2" width="14.42578125" customWidth="1"/>
    <col min="4" max="4" width="12.28515625" customWidth="1"/>
    <col min="6" max="6" width="17.5703125" customWidth="1"/>
    <col min="7" max="7" width="12.7109375" customWidth="1"/>
    <col min="8" max="8" width="10" style="140" customWidth="1"/>
    <col min="9" max="9" width="17.7109375" customWidth="1"/>
    <col min="10" max="10" width="32" customWidth="1"/>
    <col min="11" max="11" width="27.42578125" customWidth="1"/>
  </cols>
  <sheetData>
    <row r="1" spans="1:12" ht="47.25" customHeight="1">
      <c r="A1" s="5" t="s">
        <v>0</v>
      </c>
      <c r="B1" s="6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954</v>
      </c>
      <c r="H1" s="139" t="s">
        <v>955</v>
      </c>
      <c r="I1" s="7" t="s">
        <v>10</v>
      </c>
      <c r="J1" s="14" t="s">
        <v>12</v>
      </c>
      <c r="K1" s="15" t="s">
        <v>956</v>
      </c>
    </row>
    <row r="2" spans="1:12" s="19" customFormat="1" ht="98.25" hidden="1" customHeight="1">
      <c r="A2" s="112" t="s">
        <v>13</v>
      </c>
      <c r="B2" s="112" t="s">
        <v>1382</v>
      </c>
      <c r="C2" s="112">
        <v>629</v>
      </c>
      <c r="D2" s="112" t="s">
        <v>1417</v>
      </c>
      <c r="E2" s="112">
        <v>1</v>
      </c>
      <c r="F2" s="112" t="s">
        <v>1367</v>
      </c>
      <c r="G2" s="113">
        <v>1500</v>
      </c>
      <c r="H2" s="143">
        <v>1500</v>
      </c>
      <c r="I2" s="144">
        <v>45860</v>
      </c>
      <c r="J2" s="112" t="s">
        <v>1287</v>
      </c>
      <c r="K2" s="114"/>
      <c r="L2" s="115"/>
    </row>
    <row r="3" spans="1:12" s="19" customFormat="1" ht="98.25" hidden="1" customHeight="1">
      <c r="A3" s="112" t="s">
        <v>13</v>
      </c>
      <c r="B3" s="112" t="s">
        <v>1418</v>
      </c>
      <c r="C3" s="112">
        <v>632</v>
      </c>
      <c r="D3" s="112" t="s">
        <v>1404</v>
      </c>
      <c r="E3" s="112">
        <v>2</v>
      </c>
      <c r="F3" s="112" t="s">
        <v>1420</v>
      </c>
      <c r="G3" s="113">
        <v>1300</v>
      </c>
      <c r="H3" s="143">
        <v>2600</v>
      </c>
      <c r="I3" s="144"/>
      <c r="J3" s="112" t="s">
        <v>1287</v>
      </c>
      <c r="K3" s="114"/>
      <c r="L3" s="115"/>
    </row>
    <row r="4" spans="1:12" s="19" customFormat="1" ht="98.25" hidden="1" customHeight="1">
      <c r="A4" s="112" t="s">
        <v>13</v>
      </c>
      <c r="B4" s="112" t="s">
        <v>1409</v>
      </c>
      <c r="C4" s="112">
        <v>633</v>
      </c>
      <c r="D4" s="112" t="s">
        <v>1404</v>
      </c>
      <c r="E4" s="112">
        <v>1</v>
      </c>
      <c r="F4" s="112" t="s">
        <v>1410</v>
      </c>
      <c r="G4" s="113">
        <v>1300</v>
      </c>
      <c r="H4" s="143">
        <v>1300</v>
      </c>
      <c r="I4" s="144"/>
      <c r="J4" s="112" t="s">
        <v>1287</v>
      </c>
      <c r="K4" s="114"/>
      <c r="L4" s="115"/>
    </row>
    <row r="5" spans="1:12" s="19" customFormat="1" ht="98.25" hidden="1" customHeight="1">
      <c r="A5" s="112" t="s">
        <v>13</v>
      </c>
      <c r="B5" s="112" t="s">
        <v>1382</v>
      </c>
      <c r="C5" s="112">
        <v>630</v>
      </c>
      <c r="D5" s="112" t="s">
        <v>1404</v>
      </c>
      <c r="E5" s="112">
        <v>1</v>
      </c>
      <c r="F5" s="112" t="s">
        <v>1408</v>
      </c>
      <c r="G5" s="113">
        <v>980</v>
      </c>
      <c r="H5" s="143">
        <v>980</v>
      </c>
      <c r="I5" s="144"/>
      <c r="J5" s="112" t="s">
        <v>1287</v>
      </c>
      <c r="K5" s="114"/>
      <c r="L5" s="115"/>
    </row>
    <row r="6" spans="1:12" s="19" customFormat="1" ht="98.25" hidden="1" customHeight="1">
      <c r="A6" s="112" t="s">
        <v>13</v>
      </c>
      <c r="B6" s="112" t="s">
        <v>1382</v>
      </c>
      <c r="C6" s="112">
        <v>629</v>
      </c>
      <c r="D6" s="112" t="s">
        <v>1416</v>
      </c>
      <c r="E6" s="112">
        <v>2</v>
      </c>
      <c r="F6" s="112" t="s">
        <v>1367</v>
      </c>
      <c r="G6" s="113">
        <v>1500</v>
      </c>
      <c r="H6" s="143">
        <v>3000</v>
      </c>
      <c r="I6" s="144"/>
      <c r="J6" s="112" t="s">
        <v>1287</v>
      </c>
      <c r="K6" s="114"/>
      <c r="L6" s="115"/>
    </row>
    <row r="7" spans="1:12" s="19" customFormat="1" ht="98.25" hidden="1" customHeight="1">
      <c r="A7" s="112" t="s">
        <v>13</v>
      </c>
      <c r="B7" s="112" t="s">
        <v>1382</v>
      </c>
      <c r="C7" s="112">
        <v>630</v>
      </c>
      <c r="D7" s="112" t="s">
        <v>1385</v>
      </c>
      <c r="E7" s="112">
        <v>1</v>
      </c>
      <c r="F7" s="112" t="s">
        <v>1407</v>
      </c>
      <c r="G7" s="113">
        <v>980</v>
      </c>
      <c r="H7" s="143">
        <v>980</v>
      </c>
      <c r="I7" s="144">
        <v>45843</v>
      </c>
      <c r="J7" s="112" t="s">
        <v>1287</v>
      </c>
      <c r="K7" s="114"/>
      <c r="L7" s="115"/>
    </row>
    <row r="8" spans="1:12" s="19" customFormat="1" ht="98.25" hidden="1" customHeight="1">
      <c r="A8" s="112" t="s">
        <v>13</v>
      </c>
      <c r="B8" s="112" t="s">
        <v>1402</v>
      </c>
      <c r="C8" s="112">
        <v>634</v>
      </c>
      <c r="D8" s="112" t="s">
        <v>1405</v>
      </c>
      <c r="E8" s="112">
        <v>1</v>
      </c>
      <c r="F8" s="112" t="s">
        <v>1406</v>
      </c>
      <c r="G8" s="113">
        <v>800</v>
      </c>
      <c r="H8" s="143">
        <v>800</v>
      </c>
      <c r="I8" s="144"/>
      <c r="J8" s="112" t="s">
        <v>1287</v>
      </c>
      <c r="K8" s="114"/>
      <c r="L8" s="115"/>
    </row>
    <row r="9" spans="1:12" s="19" customFormat="1" ht="98.25" customHeight="1">
      <c r="A9" s="112" t="s">
        <v>13</v>
      </c>
      <c r="B9" s="112" t="s">
        <v>1386</v>
      </c>
      <c r="C9" s="112">
        <v>638</v>
      </c>
      <c r="D9" s="112" t="s">
        <v>1404</v>
      </c>
      <c r="E9" s="112">
        <v>3</v>
      </c>
      <c r="F9" s="112" t="s">
        <v>1419</v>
      </c>
      <c r="G9" s="113">
        <v>1300</v>
      </c>
      <c r="H9" s="143">
        <v>3900</v>
      </c>
      <c r="I9" s="144"/>
      <c r="J9" s="112" t="s">
        <v>1287</v>
      </c>
      <c r="K9" s="114"/>
      <c r="L9" s="115"/>
    </row>
    <row r="10" spans="1:12" s="19" customFormat="1" ht="98.25" customHeight="1">
      <c r="A10" s="112" t="s">
        <v>13</v>
      </c>
      <c r="B10" s="112" t="s">
        <v>1386</v>
      </c>
      <c r="C10" s="112">
        <v>636</v>
      </c>
      <c r="D10" s="112" t="s">
        <v>1401</v>
      </c>
      <c r="E10" s="112">
        <v>1</v>
      </c>
      <c r="F10" s="112" t="s">
        <v>1413</v>
      </c>
      <c r="G10" s="113">
        <v>980</v>
      </c>
      <c r="H10" s="143">
        <v>980</v>
      </c>
      <c r="I10" s="144">
        <v>45859</v>
      </c>
      <c r="J10" s="112" t="s">
        <v>1287</v>
      </c>
      <c r="K10" s="114"/>
      <c r="L10" s="115"/>
    </row>
    <row r="11" spans="1:12" s="19" customFormat="1" ht="98.25" hidden="1" customHeight="1">
      <c r="A11" s="112" t="s">
        <v>13</v>
      </c>
      <c r="B11" s="112" t="s">
        <v>1382</v>
      </c>
      <c r="C11" s="112">
        <v>631</v>
      </c>
      <c r="D11" s="112" t="s">
        <v>1385</v>
      </c>
      <c r="E11" s="112">
        <v>1</v>
      </c>
      <c r="F11" s="112" t="s">
        <v>1414</v>
      </c>
      <c r="G11" s="113">
        <v>980</v>
      </c>
      <c r="H11" s="143">
        <v>980</v>
      </c>
      <c r="I11" s="144"/>
      <c r="J11" s="112" t="s">
        <v>1287</v>
      </c>
      <c r="K11" s="114"/>
      <c r="L11" s="115"/>
    </row>
    <row r="12" spans="1:12" s="19" customFormat="1" ht="98.25" customHeight="1">
      <c r="A12" s="112" t="s">
        <v>13</v>
      </c>
      <c r="B12" s="112" t="s">
        <v>1425</v>
      </c>
      <c r="C12" s="112">
        <v>637</v>
      </c>
      <c r="D12" s="112" t="s">
        <v>1384</v>
      </c>
      <c r="E12" s="112">
        <v>2</v>
      </c>
      <c r="F12" s="112" t="s">
        <v>1412</v>
      </c>
      <c r="G12" s="113">
        <v>1300</v>
      </c>
      <c r="H12" s="143">
        <v>2600</v>
      </c>
      <c r="I12" s="144"/>
      <c r="J12" s="112" t="s">
        <v>1287</v>
      </c>
      <c r="K12" s="114"/>
      <c r="L12" s="115"/>
    </row>
    <row r="13" spans="1:12" s="19" customFormat="1" ht="98.25" hidden="1" customHeight="1">
      <c r="A13" s="112" t="s">
        <v>13</v>
      </c>
      <c r="B13" s="112" t="s">
        <v>1402</v>
      </c>
      <c r="C13" s="112">
        <v>635</v>
      </c>
      <c r="D13" s="112" t="s">
        <v>1424</v>
      </c>
      <c r="E13" s="112">
        <v>1</v>
      </c>
      <c r="F13" s="112" t="s">
        <v>1415</v>
      </c>
      <c r="G13" s="113">
        <v>1300</v>
      </c>
      <c r="H13" s="143">
        <v>1300</v>
      </c>
      <c r="I13" s="144">
        <v>45852</v>
      </c>
      <c r="J13" s="112" t="s">
        <v>1287</v>
      </c>
      <c r="K13" s="114"/>
      <c r="L13" s="115"/>
    </row>
    <row r="14" spans="1:12" s="19" customFormat="1" ht="98.25" hidden="1" customHeight="1">
      <c r="A14" s="112" t="s">
        <v>13</v>
      </c>
      <c r="B14" s="112" t="s">
        <v>1382</v>
      </c>
      <c r="C14" s="112">
        <v>631</v>
      </c>
      <c r="D14" s="112" t="s">
        <v>1383</v>
      </c>
      <c r="E14" s="112">
        <v>1</v>
      </c>
      <c r="F14" s="112" t="s">
        <v>1363</v>
      </c>
      <c r="G14" s="113">
        <v>1300</v>
      </c>
      <c r="H14" s="143">
        <v>1300</v>
      </c>
      <c r="I14" s="144">
        <v>45848</v>
      </c>
      <c r="J14" s="112" t="s">
        <v>1287</v>
      </c>
      <c r="K14" s="114"/>
      <c r="L14" s="115"/>
    </row>
    <row r="15" spans="1:12" s="19" customFormat="1" ht="98.25" customHeight="1">
      <c r="A15" s="112" t="s">
        <v>13</v>
      </c>
      <c r="B15" s="112" t="s">
        <v>1403</v>
      </c>
      <c r="C15" s="112">
        <v>638</v>
      </c>
      <c r="D15" s="112" t="s">
        <v>1355</v>
      </c>
      <c r="E15" s="112">
        <v>2</v>
      </c>
      <c r="F15" s="112" t="s">
        <v>1411</v>
      </c>
      <c r="G15" s="113">
        <v>1300</v>
      </c>
      <c r="H15" s="143">
        <v>2600</v>
      </c>
      <c r="I15" s="144">
        <v>45839</v>
      </c>
      <c r="J15" s="112" t="s">
        <v>1287</v>
      </c>
      <c r="K15" s="114"/>
      <c r="L15" s="115"/>
    </row>
    <row r="16" spans="1:12" hidden="1">
      <c r="E16">
        <f>SUM(E2:E15)</f>
        <v>20</v>
      </c>
      <c r="H16" s="140">
        <f>SUM(H2:H15)</f>
        <v>24820</v>
      </c>
    </row>
  </sheetData>
  <autoFilter ref="A1:L16" xr:uid="{61E55992-890A-4DF9-AFD0-9414C1BD8B3E}">
    <filterColumn colId="1">
      <filters>
        <filter val="ENCARREGADO DEMETRIUS"/>
        <filter val="ENCARREGADO DEMETRIUS FRETE 200,00"/>
        <filter val="RECOLHIDO 1 PEÇA 08/08/25  ENCARREGADO DEMETRIUS"/>
      </filters>
    </filterColumn>
  </autoFilter>
  <pageMargins left="0.51181102362204722" right="0.51181102362204722" top="0.78740157480314965" bottom="0.78740157480314965" header="0.31496062992125984" footer="0.31496062992125984"/>
  <pageSetup paperSize="9" scale="7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FADEA-AD00-43D6-AC3E-C293FCC4E96D}">
  <sheetPr codeName="Planilha6"/>
  <dimension ref="A1:L21"/>
  <sheetViews>
    <sheetView zoomScaleNormal="100" workbookViewId="0">
      <selection activeCell="D2" sqref="D2"/>
    </sheetView>
  </sheetViews>
  <sheetFormatPr defaultRowHeight="15"/>
  <cols>
    <col min="1" max="1" width="17.28515625" customWidth="1"/>
    <col min="2" max="2" width="12.42578125" customWidth="1"/>
    <col min="4" max="4" width="12.85546875" customWidth="1"/>
    <col min="6" max="6" width="17.140625" customWidth="1"/>
    <col min="7" max="8" width="10.5703125" style="147" bestFit="1" customWidth="1"/>
    <col min="9" max="9" width="11.5703125" customWidth="1"/>
    <col min="10" max="10" width="22.85546875" customWidth="1"/>
    <col min="11" max="11" width="19.85546875" customWidth="1"/>
  </cols>
  <sheetData>
    <row r="1" spans="1:12" ht="47.25" customHeight="1">
      <c r="A1" s="5" t="s">
        <v>0</v>
      </c>
      <c r="B1" s="6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146" t="s">
        <v>954</v>
      </c>
      <c r="H1" s="146" t="s">
        <v>955</v>
      </c>
      <c r="I1" s="7" t="s">
        <v>10</v>
      </c>
      <c r="J1" s="14" t="s">
        <v>12</v>
      </c>
      <c r="K1" s="15" t="s">
        <v>956</v>
      </c>
    </row>
    <row r="2" spans="1:12" s="19" customFormat="1" ht="156">
      <c r="A2" s="112" t="s">
        <v>13</v>
      </c>
      <c r="B2" s="112" t="s">
        <v>1409</v>
      </c>
      <c r="C2" s="112">
        <v>685</v>
      </c>
      <c r="D2" s="112" t="s">
        <v>1444</v>
      </c>
      <c r="E2" s="112">
        <v>1</v>
      </c>
      <c r="F2" s="112" t="s">
        <v>1452</v>
      </c>
      <c r="G2" s="113">
        <v>980</v>
      </c>
      <c r="H2" s="143">
        <v>980</v>
      </c>
      <c r="I2" s="144"/>
      <c r="J2" s="112" t="s">
        <v>1287</v>
      </c>
      <c r="K2" s="114"/>
    </row>
    <row r="3" spans="1:12" s="19" customFormat="1" ht="156">
      <c r="A3" s="112" t="s">
        <v>13</v>
      </c>
      <c r="B3" s="112" t="s">
        <v>1441</v>
      </c>
      <c r="C3" s="112">
        <v>678</v>
      </c>
      <c r="D3" s="112" t="s">
        <v>1442</v>
      </c>
      <c r="E3" s="112">
        <v>4</v>
      </c>
      <c r="F3" s="112" t="s">
        <v>1450</v>
      </c>
      <c r="G3" s="148">
        <v>1300</v>
      </c>
      <c r="H3" s="148">
        <v>5200</v>
      </c>
      <c r="I3" s="144">
        <v>45894</v>
      </c>
      <c r="J3" s="112" t="s">
        <v>1287</v>
      </c>
      <c r="K3" s="114"/>
    </row>
    <row r="4" spans="1:12" s="19" customFormat="1" ht="98.25" customHeight="1">
      <c r="A4" s="112" t="s">
        <v>13</v>
      </c>
      <c r="B4" s="112" t="s">
        <v>1448</v>
      </c>
      <c r="C4" s="112">
        <v>686</v>
      </c>
      <c r="D4" s="112" t="s">
        <v>1435</v>
      </c>
      <c r="E4" s="112">
        <v>1</v>
      </c>
      <c r="F4" s="112" t="s">
        <v>1446</v>
      </c>
      <c r="G4" s="113">
        <v>1300</v>
      </c>
      <c r="H4" s="143">
        <v>1300</v>
      </c>
      <c r="I4" s="144">
        <v>45870</v>
      </c>
      <c r="J4" s="112" t="s">
        <v>1287</v>
      </c>
      <c r="K4" s="114"/>
      <c r="L4" s="115"/>
    </row>
    <row r="5" spans="1:12" s="19" customFormat="1" ht="98.25" customHeight="1">
      <c r="A5" s="112" t="s">
        <v>13</v>
      </c>
      <c r="B5" s="112" t="s">
        <v>1449</v>
      </c>
      <c r="C5" s="112">
        <v>686</v>
      </c>
      <c r="D5" s="112" t="s">
        <v>1421</v>
      </c>
      <c r="E5" s="112">
        <v>1</v>
      </c>
      <c r="F5" s="112" t="s">
        <v>1447</v>
      </c>
      <c r="G5" s="113">
        <v>1300</v>
      </c>
      <c r="H5" s="143">
        <v>1300</v>
      </c>
      <c r="I5" s="144">
        <v>45881</v>
      </c>
      <c r="J5" s="112" t="s">
        <v>1287</v>
      </c>
      <c r="K5" s="114"/>
      <c r="L5" s="115"/>
    </row>
    <row r="6" spans="1:12" s="19" customFormat="1" ht="156">
      <c r="A6" s="112" t="s">
        <v>13</v>
      </c>
      <c r="B6" s="112" t="s">
        <v>1441</v>
      </c>
      <c r="C6" s="112">
        <v>678</v>
      </c>
      <c r="D6" s="112" t="s">
        <v>1431</v>
      </c>
      <c r="E6" s="112">
        <v>1</v>
      </c>
      <c r="F6" s="112" t="s">
        <v>1411</v>
      </c>
      <c r="G6" s="148">
        <v>1300</v>
      </c>
      <c r="H6" s="148">
        <v>1300</v>
      </c>
      <c r="I6" s="144">
        <v>45890</v>
      </c>
      <c r="J6" s="112" t="s">
        <v>1287</v>
      </c>
      <c r="K6" s="114"/>
    </row>
    <row r="7" spans="1:12" s="19" customFormat="1" ht="156">
      <c r="A7" s="112" t="s">
        <v>13</v>
      </c>
      <c r="B7" s="112" t="s">
        <v>1382</v>
      </c>
      <c r="C7" s="112">
        <v>683</v>
      </c>
      <c r="D7" s="112" t="s">
        <v>1426</v>
      </c>
      <c r="E7" s="112">
        <v>1</v>
      </c>
      <c r="F7" s="112" t="s">
        <v>1367</v>
      </c>
      <c r="G7" s="113">
        <v>1500</v>
      </c>
      <c r="H7" s="143">
        <v>1500</v>
      </c>
      <c r="I7" s="144">
        <v>45891</v>
      </c>
      <c r="J7" s="112" t="s">
        <v>1287</v>
      </c>
      <c r="K7" s="114"/>
    </row>
    <row r="8" spans="1:12" s="19" customFormat="1" ht="156">
      <c r="A8" s="112" t="s">
        <v>13</v>
      </c>
      <c r="B8" s="112" t="s">
        <v>1427</v>
      </c>
      <c r="C8" s="112">
        <v>687</v>
      </c>
      <c r="D8" s="112" t="s">
        <v>1428</v>
      </c>
      <c r="E8" s="112">
        <v>2</v>
      </c>
      <c r="F8" s="112" t="s">
        <v>1438</v>
      </c>
      <c r="G8" s="113">
        <v>1300</v>
      </c>
      <c r="H8" s="143">
        <v>2600</v>
      </c>
      <c r="I8" s="144"/>
      <c r="J8" s="112" t="s">
        <v>1287</v>
      </c>
      <c r="K8" s="114"/>
    </row>
    <row r="9" spans="1:12" s="19" customFormat="1" ht="156">
      <c r="A9" s="112" t="s">
        <v>13</v>
      </c>
      <c r="B9" s="112" t="s">
        <v>1409</v>
      </c>
      <c r="C9" s="112">
        <v>684</v>
      </c>
      <c r="D9" s="112" t="s">
        <v>1428</v>
      </c>
      <c r="E9" s="112">
        <v>1</v>
      </c>
      <c r="F9" s="112" t="s">
        <v>1410</v>
      </c>
      <c r="G9" s="113">
        <v>1300</v>
      </c>
      <c r="H9" s="143">
        <v>1300</v>
      </c>
      <c r="I9" s="144"/>
      <c r="J9" s="112" t="s">
        <v>1287</v>
      </c>
      <c r="K9" s="114"/>
    </row>
    <row r="10" spans="1:12" s="19" customFormat="1" ht="156">
      <c r="A10" s="112" t="s">
        <v>13</v>
      </c>
      <c r="B10" s="112" t="s">
        <v>1382</v>
      </c>
      <c r="C10" s="112">
        <v>682</v>
      </c>
      <c r="D10" s="112" t="s">
        <v>1428</v>
      </c>
      <c r="E10" s="112">
        <v>1</v>
      </c>
      <c r="F10" s="112" t="s">
        <v>1408</v>
      </c>
      <c r="G10" s="113">
        <v>980</v>
      </c>
      <c r="H10" s="143">
        <v>980</v>
      </c>
      <c r="I10" s="144"/>
      <c r="J10" s="112" t="s">
        <v>1287</v>
      </c>
      <c r="K10" s="114"/>
    </row>
    <row r="11" spans="1:12" s="19" customFormat="1" ht="156">
      <c r="A11" s="112" t="s">
        <v>13</v>
      </c>
      <c r="B11" s="112" t="s">
        <v>1382</v>
      </c>
      <c r="C11" s="112">
        <v>683</v>
      </c>
      <c r="D11" s="112" t="s">
        <v>1429</v>
      </c>
      <c r="E11" s="112">
        <v>2</v>
      </c>
      <c r="F11" s="112" t="s">
        <v>1367</v>
      </c>
      <c r="G11" s="113">
        <v>1500</v>
      </c>
      <c r="H11" s="143">
        <v>3000</v>
      </c>
      <c r="I11" s="144"/>
      <c r="J11" s="112" t="s">
        <v>1287</v>
      </c>
      <c r="K11" s="114"/>
    </row>
    <row r="12" spans="1:12" s="19" customFormat="1" ht="156">
      <c r="A12" s="112" t="s">
        <v>13</v>
      </c>
      <c r="B12" s="112" t="s">
        <v>1382</v>
      </c>
      <c r="C12" s="112">
        <v>682</v>
      </c>
      <c r="D12" s="112" t="s">
        <v>1430</v>
      </c>
      <c r="E12" s="112">
        <v>1</v>
      </c>
      <c r="F12" s="112" t="s">
        <v>1407</v>
      </c>
      <c r="G12" s="113">
        <v>980</v>
      </c>
      <c r="H12" s="143">
        <v>980</v>
      </c>
      <c r="I12" s="144">
        <v>45843</v>
      </c>
      <c r="J12" s="112" t="s">
        <v>1287</v>
      </c>
      <c r="K12" s="114"/>
    </row>
    <row r="13" spans="1:12" s="19" customFormat="1" ht="156">
      <c r="A13" s="112" t="s">
        <v>13</v>
      </c>
      <c r="B13" s="112" t="s">
        <v>1402</v>
      </c>
      <c r="C13" s="112">
        <v>688</v>
      </c>
      <c r="D13" s="112" t="s">
        <v>1401</v>
      </c>
      <c r="E13" s="112">
        <v>1</v>
      </c>
      <c r="F13" s="112" t="s">
        <v>1406</v>
      </c>
      <c r="G13" s="113">
        <v>800</v>
      </c>
      <c r="H13" s="143">
        <v>800</v>
      </c>
      <c r="I13" s="144"/>
      <c r="J13" s="112" t="s">
        <v>1287</v>
      </c>
      <c r="K13" s="114"/>
    </row>
    <row r="14" spans="1:12" s="19" customFormat="1" ht="156">
      <c r="A14" s="112" t="s">
        <v>13</v>
      </c>
      <c r="B14" s="112" t="s">
        <v>1453</v>
      </c>
      <c r="C14" s="112">
        <v>680</v>
      </c>
      <c r="D14" s="112" t="s">
        <v>1428</v>
      </c>
      <c r="E14" s="112">
        <v>3</v>
      </c>
      <c r="F14" s="112" t="s">
        <v>1419</v>
      </c>
      <c r="G14" s="148">
        <v>1300</v>
      </c>
      <c r="H14" s="148">
        <v>3900</v>
      </c>
      <c r="I14" s="144"/>
      <c r="J14" s="112" t="s">
        <v>1287</v>
      </c>
      <c r="K14" s="114"/>
    </row>
    <row r="15" spans="1:12" s="19" customFormat="1" ht="156">
      <c r="A15" s="112" t="s">
        <v>13</v>
      </c>
      <c r="B15" s="112" t="s">
        <v>1386</v>
      </c>
      <c r="C15" s="112">
        <v>679</v>
      </c>
      <c r="D15" s="112" t="s">
        <v>1431</v>
      </c>
      <c r="E15" s="112">
        <v>1</v>
      </c>
      <c r="F15" s="112" t="s">
        <v>1412</v>
      </c>
      <c r="G15" s="148">
        <v>1300</v>
      </c>
      <c r="H15" s="148">
        <v>1300</v>
      </c>
      <c r="I15" s="144">
        <v>45859</v>
      </c>
      <c r="J15" s="112" t="s">
        <v>1287</v>
      </c>
      <c r="K15" s="114"/>
    </row>
    <row r="16" spans="1:12" s="19" customFormat="1" ht="156">
      <c r="A16" s="112" t="s">
        <v>13</v>
      </c>
      <c r="B16" s="112" t="s">
        <v>1382</v>
      </c>
      <c r="C16" s="112">
        <v>681</v>
      </c>
      <c r="D16" s="112" t="s">
        <v>1430</v>
      </c>
      <c r="E16" s="112">
        <v>1</v>
      </c>
      <c r="F16" s="112" t="s">
        <v>1440</v>
      </c>
      <c r="G16" s="113">
        <v>1300</v>
      </c>
      <c r="H16" s="143">
        <v>1300</v>
      </c>
      <c r="I16" s="144"/>
      <c r="J16" s="112" t="s">
        <v>1287</v>
      </c>
      <c r="K16" s="114"/>
    </row>
    <row r="17" spans="1:11" s="19" customFormat="1" ht="156">
      <c r="A17" s="112" t="s">
        <v>13</v>
      </c>
      <c r="B17" s="112" t="s">
        <v>1386</v>
      </c>
      <c r="C17" s="112">
        <v>679</v>
      </c>
      <c r="D17" s="112" t="s">
        <v>1432</v>
      </c>
      <c r="E17" s="112">
        <v>1</v>
      </c>
      <c r="F17" s="112" t="s">
        <v>1412</v>
      </c>
      <c r="G17" s="148">
        <v>1300</v>
      </c>
      <c r="H17" s="148">
        <v>1300</v>
      </c>
      <c r="I17" s="144"/>
      <c r="J17" s="112" t="s">
        <v>1287</v>
      </c>
      <c r="K17" s="114"/>
    </row>
    <row r="18" spans="1:11" s="19" customFormat="1" ht="156">
      <c r="A18" s="112" t="s">
        <v>13</v>
      </c>
      <c r="B18" s="112" t="s">
        <v>1402</v>
      </c>
      <c r="C18" s="112">
        <v>689</v>
      </c>
      <c r="D18" s="112" t="s">
        <v>1433</v>
      </c>
      <c r="E18" s="112">
        <v>1</v>
      </c>
      <c r="F18" s="112" t="s">
        <v>1415</v>
      </c>
      <c r="G18" s="113">
        <v>1300</v>
      </c>
      <c r="H18" s="143">
        <v>1300</v>
      </c>
      <c r="I18" s="144">
        <v>45852</v>
      </c>
      <c r="J18" s="112" t="s">
        <v>1287</v>
      </c>
      <c r="K18" s="114"/>
    </row>
    <row r="19" spans="1:11" s="19" customFormat="1" ht="156">
      <c r="A19" s="112" t="s">
        <v>13</v>
      </c>
      <c r="B19" s="112" t="s">
        <v>1382</v>
      </c>
      <c r="C19" s="112">
        <v>681</v>
      </c>
      <c r="D19" s="112" t="s">
        <v>1434</v>
      </c>
      <c r="E19" s="112">
        <v>1</v>
      </c>
      <c r="F19" s="112" t="s">
        <v>1363</v>
      </c>
      <c r="G19" s="113">
        <v>1300</v>
      </c>
      <c r="H19" s="143">
        <v>1300</v>
      </c>
      <c r="I19" s="144">
        <v>45848</v>
      </c>
      <c r="J19" s="112" t="s">
        <v>1287</v>
      </c>
      <c r="K19" s="114"/>
    </row>
    <row r="20" spans="1:11" s="19" customFormat="1" ht="156">
      <c r="A20" s="112" t="s">
        <v>13</v>
      </c>
      <c r="B20" s="112" t="s">
        <v>1436</v>
      </c>
      <c r="C20" s="112">
        <v>678</v>
      </c>
      <c r="D20" s="112" t="s">
        <v>1435</v>
      </c>
      <c r="E20" s="112">
        <v>2</v>
      </c>
      <c r="F20" s="112" t="s">
        <v>1411</v>
      </c>
      <c r="G20" s="148">
        <v>1300</v>
      </c>
      <c r="H20" s="148">
        <v>2600</v>
      </c>
      <c r="I20" s="144">
        <v>45839</v>
      </c>
      <c r="J20" s="112" t="s">
        <v>1287</v>
      </c>
      <c r="K20" s="114"/>
    </row>
    <row r="21" spans="1:11">
      <c r="E21">
        <f>SUM(E2:E20)</f>
        <v>27</v>
      </c>
      <c r="G21"/>
      <c r="H21" s="140">
        <f>SUM(H2:H20)</f>
        <v>34240</v>
      </c>
    </row>
  </sheetData>
  <autoFilter ref="A1:L21" xr:uid="{5321AAE2-3D65-4CB8-B88C-145233387BEE}"/>
  <pageMargins left="0.51181102362204722" right="0.51181102362204722" top="0.78740157480314965" bottom="0.78740157480314965" header="0.31496062992125984" footer="0.31496062992125984"/>
  <pageSetup paperSize="9" scale="8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1AAE2-3D65-4CB8-B88C-145233387BEE}">
  <sheetPr codeName="Planilha7" filterMode="1"/>
  <dimension ref="A1:T23"/>
  <sheetViews>
    <sheetView zoomScaleNormal="100" workbookViewId="0">
      <selection activeCell="F11" sqref="F11"/>
    </sheetView>
  </sheetViews>
  <sheetFormatPr defaultRowHeight="15"/>
  <cols>
    <col min="1" max="1" width="17.28515625" customWidth="1"/>
    <col min="2" max="2" width="12.42578125" customWidth="1"/>
    <col min="4" max="4" width="12.85546875" customWidth="1"/>
    <col min="6" max="6" width="17.140625" customWidth="1"/>
    <col min="7" max="7" width="10.5703125" style="147" bestFit="1" customWidth="1"/>
    <col min="8" max="8" width="11.7109375" style="147" bestFit="1" customWidth="1"/>
    <col min="9" max="9" width="11.5703125" customWidth="1"/>
    <col min="10" max="10" width="22.85546875" customWidth="1"/>
    <col min="11" max="11" width="19.85546875" customWidth="1"/>
  </cols>
  <sheetData>
    <row r="1" spans="1:20" ht="47.25" customHeight="1">
      <c r="A1" s="5" t="s">
        <v>0</v>
      </c>
      <c r="B1" s="6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146" t="s">
        <v>954</v>
      </c>
      <c r="H1" s="146" t="s">
        <v>955</v>
      </c>
      <c r="I1" s="7" t="s">
        <v>10</v>
      </c>
      <c r="J1" s="14" t="s">
        <v>12</v>
      </c>
      <c r="K1" s="15" t="s">
        <v>956</v>
      </c>
    </row>
    <row r="2" spans="1:20" s="154" customFormat="1" ht="180" hidden="1">
      <c r="A2" s="150" t="s">
        <v>13</v>
      </c>
      <c r="B2" s="150" t="s">
        <v>1473</v>
      </c>
      <c r="C2" s="150">
        <v>728</v>
      </c>
      <c r="D2" s="150" t="s">
        <v>1471</v>
      </c>
      <c r="E2" s="150">
        <v>1</v>
      </c>
      <c r="F2" s="150" t="s">
        <v>1472</v>
      </c>
      <c r="G2" s="151">
        <v>980</v>
      </c>
      <c r="H2" s="151">
        <v>980</v>
      </c>
      <c r="I2" s="152">
        <v>45915</v>
      </c>
      <c r="J2" s="150" t="s">
        <v>1477</v>
      </c>
      <c r="K2" s="153"/>
    </row>
    <row r="3" spans="1:20" s="154" customFormat="1" ht="180" hidden="1">
      <c r="A3" s="150" t="s">
        <v>13</v>
      </c>
      <c r="B3" s="150" t="s">
        <v>1469</v>
      </c>
      <c r="C3" s="150">
        <v>729</v>
      </c>
      <c r="D3" s="150" t="s">
        <v>1470</v>
      </c>
      <c r="E3" s="150">
        <v>1</v>
      </c>
      <c r="F3" s="150" t="s">
        <v>1468</v>
      </c>
      <c r="G3" s="151">
        <v>980</v>
      </c>
      <c r="H3" s="151">
        <v>980</v>
      </c>
      <c r="I3" s="152">
        <v>45911</v>
      </c>
      <c r="J3" s="150" t="s">
        <v>1478</v>
      </c>
      <c r="K3" s="153"/>
    </row>
    <row r="4" spans="1:20" s="154" customFormat="1" ht="180" hidden="1">
      <c r="A4" s="150" t="s">
        <v>13</v>
      </c>
      <c r="B4" s="150" t="s">
        <v>1467</v>
      </c>
      <c r="C4" s="150">
        <v>730</v>
      </c>
      <c r="D4" s="150" t="s">
        <v>1466</v>
      </c>
      <c r="E4" s="150">
        <v>1</v>
      </c>
      <c r="F4" s="150" t="s">
        <v>1465</v>
      </c>
      <c r="G4" s="151">
        <v>1300</v>
      </c>
      <c r="H4" s="151">
        <v>1300</v>
      </c>
      <c r="I4" s="152">
        <v>45924</v>
      </c>
      <c r="J4" s="150" t="s">
        <v>1479</v>
      </c>
      <c r="K4" s="153"/>
    </row>
    <row r="5" spans="1:20" s="154" customFormat="1" ht="180" hidden="1">
      <c r="A5" s="150" t="s">
        <v>13</v>
      </c>
      <c r="B5" s="150" t="s">
        <v>1386</v>
      </c>
      <c r="C5" s="150">
        <v>732</v>
      </c>
      <c r="D5" s="150" t="s">
        <v>1451</v>
      </c>
      <c r="E5" s="150">
        <v>1</v>
      </c>
      <c r="F5" s="150" t="s">
        <v>1412</v>
      </c>
      <c r="G5" s="151">
        <v>1300</v>
      </c>
      <c r="H5" s="151">
        <v>1300</v>
      </c>
      <c r="I5" s="152">
        <v>45903</v>
      </c>
      <c r="J5" s="150" t="s">
        <v>1480</v>
      </c>
      <c r="K5" s="153"/>
    </row>
    <row r="6" spans="1:20" s="154" customFormat="1" ht="180">
      <c r="A6" s="150" t="s">
        <v>13</v>
      </c>
      <c r="B6" s="150" t="s">
        <v>1475</v>
      </c>
      <c r="C6" s="150">
        <v>734</v>
      </c>
      <c r="D6" s="150" t="s">
        <v>1454</v>
      </c>
      <c r="E6" s="150">
        <v>1</v>
      </c>
      <c r="F6" s="150" t="s">
        <v>1452</v>
      </c>
      <c r="G6" s="156">
        <v>980</v>
      </c>
      <c r="H6" s="157">
        <v>980</v>
      </c>
      <c r="I6" s="152"/>
      <c r="J6" s="150" t="s">
        <v>1477</v>
      </c>
      <c r="K6" s="153"/>
      <c r="Q6" s="154" t="e">
        <f>SUM(#REF!)</f>
        <v>#REF!</v>
      </c>
      <c r="T6" s="158" t="e">
        <f>SUM(#REF!)</f>
        <v>#REF!</v>
      </c>
    </row>
    <row r="7" spans="1:20" s="154" customFormat="1" ht="180" hidden="1">
      <c r="A7" s="150" t="s">
        <v>13</v>
      </c>
      <c r="B7" s="150" t="s">
        <v>1441</v>
      </c>
      <c r="C7" s="150">
        <v>731</v>
      </c>
      <c r="D7" s="150" t="s">
        <v>1455</v>
      </c>
      <c r="E7" s="150">
        <v>4</v>
      </c>
      <c r="F7" s="150" t="s">
        <v>1450</v>
      </c>
      <c r="G7" s="151">
        <v>1300</v>
      </c>
      <c r="H7" s="151">
        <v>5200</v>
      </c>
      <c r="I7" s="152">
        <v>45894</v>
      </c>
      <c r="J7" s="150" t="s">
        <v>1481</v>
      </c>
      <c r="K7" s="153"/>
      <c r="S7" s="155"/>
      <c r="T7" s="155"/>
    </row>
    <row r="8" spans="1:20" s="154" customFormat="1" ht="180" hidden="1">
      <c r="A8" s="150" t="s">
        <v>13</v>
      </c>
      <c r="B8" s="150" t="s">
        <v>1441</v>
      </c>
      <c r="C8" s="150">
        <v>731</v>
      </c>
      <c r="D8" s="150" t="s">
        <v>1456</v>
      </c>
      <c r="E8" s="150">
        <v>1</v>
      </c>
      <c r="F8" s="150" t="s">
        <v>1411</v>
      </c>
      <c r="G8" s="151">
        <v>1300</v>
      </c>
      <c r="H8" s="151">
        <v>1300</v>
      </c>
      <c r="I8" s="152">
        <v>45890</v>
      </c>
      <c r="J8" s="150" t="s">
        <v>1482</v>
      </c>
      <c r="K8" s="153"/>
      <c r="S8" s="155"/>
      <c r="T8" s="155"/>
    </row>
    <row r="9" spans="1:20" s="154" customFormat="1" ht="180" hidden="1">
      <c r="A9" s="150" t="s">
        <v>13</v>
      </c>
      <c r="B9" s="150" t="s">
        <v>1495</v>
      </c>
      <c r="C9" s="150">
        <v>737</v>
      </c>
      <c r="D9" s="150" t="s">
        <v>1457</v>
      </c>
      <c r="E9" s="150">
        <v>1</v>
      </c>
      <c r="F9" s="150" t="s">
        <v>1367</v>
      </c>
      <c r="G9" s="156">
        <v>1500</v>
      </c>
      <c r="H9" s="157">
        <v>1500</v>
      </c>
      <c r="I9" s="152">
        <v>45891</v>
      </c>
      <c r="J9" s="150" t="s">
        <v>1483</v>
      </c>
      <c r="K9" s="153"/>
      <c r="S9" s="155"/>
      <c r="T9" s="155"/>
    </row>
    <row r="10" spans="1:20" s="154" customFormat="1" ht="180" hidden="1">
      <c r="A10" s="150" t="s">
        <v>13</v>
      </c>
      <c r="B10" s="150" t="s">
        <v>1427</v>
      </c>
      <c r="C10" s="150">
        <v>738</v>
      </c>
      <c r="D10" s="150" t="s">
        <v>1458</v>
      </c>
      <c r="E10" s="150">
        <v>2</v>
      </c>
      <c r="F10" s="150" t="s">
        <v>1438</v>
      </c>
      <c r="G10" s="156">
        <v>1300</v>
      </c>
      <c r="H10" s="157">
        <v>2600</v>
      </c>
      <c r="I10" s="152"/>
      <c r="J10" s="150" t="s">
        <v>1480</v>
      </c>
      <c r="K10" s="153"/>
      <c r="S10" s="155"/>
      <c r="T10" s="155"/>
    </row>
    <row r="11" spans="1:20" s="154" customFormat="1" ht="180">
      <c r="A11" s="150" t="s">
        <v>13</v>
      </c>
      <c r="B11" s="150" t="s">
        <v>1474</v>
      </c>
      <c r="C11" s="150">
        <v>735</v>
      </c>
      <c r="D11" s="150" t="s">
        <v>1494</v>
      </c>
      <c r="E11" s="150">
        <v>1</v>
      </c>
      <c r="F11" s="150" t="s">
        <v>1410</v>
      </c>
      <c r="G11" s="156">
        <v>1300</v>
      </c>
      <c r="H11" s="157">
        <v>1300</v>
      </c>
      <c r="I11" s="152"/>
      <c r="J11" s="150" t="s">
        <v>1484</v>
      </c>
      <c r="K11" s="153"/>
      <c r="S11" s="155"/>
      <c r="T11" s="155"/>
    </row>
    <row r="12" spans="1:20" s="154" customFormat="1" ht="180" hidden="1">
      <c r="A12" s="150" t="s">
        <v>13</v>
      </c>
      <c r="B12" s="150" t="s">
        <v>1382</v>
      </c>
      <c r="C12" s="150">
        <v>736</v>
      </c>
      <c r="D12" s="150" t="s">
        <v>1458</v>
      </c>
      <c r="E12" s="150">
        <v>1</v>
      </c>
      <c r="F12" s="150" t="s">
        <v>1408</v>
      </c>
      <c r="G12" s="156">
        <v>980</v>
      </c>
      <c r="H12" s="157">
        <v>980</v>
      </c>
      <c r="I12" s="152"/>
      <c r="J12" s="150" t="s">
        <v>1485</v>
      </c>
      <c r="K12" s="153"/>
      <c r="S12" s="155"/>
      <c r="T12" s="155"/>
    </row>
    <row r="13" spans="1:20" s="154" customFormat="1" ht="180" hidden="1">
      <c r="A13" s="150" t="s">
        <v>13</v>
      </c>
      <c r="B13" s="150" t="s">
        <v>1382</v>
      </c>
      <c r="C13" s="150">
        <v>737</v>
      </c>
      <c r="D13" s="150" t="s">
        <v>1459</v>
      </c>
      <c r="E13" s="150">
        <v>2</v>
      </c>
      <c r="F13" s="150" t="s">
        <v>1367</v>
      </c>
      <c r="G13" s="156">
        <v>1500</v>
      </c>
      <c r="H13" s="157">
        <v>3000</v>
      </c>
      <c r="I13" s="152"/>
      <c r="J13" s="150" t="s">
        <v>1486</v>
      </c>
      <c r="K13" s="153"/>
      <c r="S13" s="155"/>
      <c r="T13" s="155"/>
    </row>
    <row r="14" spans="1:20" s="154" customFormat="1" ht="180" hidden="1">
      <c r="A14" s="150" t="s">
        <v>13</v>
      </c>
      <c r="B14" s="150" t="s">
        <v>1382</v>
      </c>
      <c r="C14" s="150">
        <v>736</v>
      </c>
      <c r="D14" s="150" t="s">
        <v>1460</v>
      </c>
      <c r="E14" s="150">
        <v>1</v>
      </c>
      <c r="F14" s="150" t="s">
        <v>1407</v>
      </c>
      <c r="G14" s="156">
        <v>980</v>
      </c>
      <c r="H14" s="157">
        <v>980</v>
      </c>
      <c r="I14" s="152">
        <v>45843</v>
      </c>
      <c r="J14" s="150" t="s">
        <v>1483</v>
      </c>
      <c r="K14" s="153"/>
      <c r="S14" s="155"/>
      <c r="T14" s="155"/>
    </row>
    <row r="15" spans="1:20" s="154" customFormat="1" ht="180" hidden="1">
      <c r="A15" s="150" t="s">
        <v>13</v>
      </c>
      <c r="B15" s="150" t="s">
        <v>1402</v>
      </c>
      <c r="C15" s="150">
        <v>739</v>
      </c>
      <c r="D15" s="150" t="s">
        <v>1431</v>
      </c>
      <c r="E15" s="150">
        <v>1</v>
      </c>
      <c r="F15" s="150" t="s">
        <v>1406</v>
      </c>
      <c r="G15" s="156">
        <v>800</v>
      </c>
      <c r="H15" s="157">
        <v>800</v>
      </c>
      <c r="I15" s="152"/>
      <c r="J15" s="150" t="s">
        <v>1486</v>
      </c>
      <c r="K15" s="153"/>
      <c r="S15" s="155"/>
      <c r="T15" s="155"/>
    </row>
    <row r="16" spans="1:20" s="154" customFormat="1" ht="180" hidden="1">
      <c r="A16" s="150" t="s">
        <v>13</v>
      </c>
      <c r="B16" s="150" t="s">
        <v>1386</v>
      </c>
      <c r="C16" s="150">
        <v>733</v>
      </c>
      <c r="D16" s="150" t="s">
        <v>1458</v>
      </c>
      <c r="E16" s="150">
        <v>2</v>
      </c>
      <c r="F16" s="150" t="s">
        <v>1419</v>
      </c>
      <c r="G16" s="151">
        <v>1300</v>
      </c>
      <c r="H16" s="151">
        <v>2600</v>
      </c>
      <c r="I16" s="152"/>
      <c r="J16" s="150" t="s">
        <v>1487</v>
      </c>
      <c r="K16" s="153"/>
      <c r="S16" s="155"/>
      <c r="T16" s="155"/>
    </row>
    <row r="17" spans="1:20" s="154" customFormat="1" ht="180" hidden="1">
      <c r="A17" s="150" t="s">
        <v>13</v>
      </c>
      <c r="B17" s="150" t="s">
        <v>1386</v>
      </c>
      <c r="C17" s="150">
        <v>732</v>
      </c>
      <c r="D17" s="150" t="s">
        <v>1456</v>
      </c>
      <c r="E17" s="150">
        <v>1</v>
      </c>
      <c r="F17" s="150" t="s">
        <v>1412</v>
      </c>
      <c r="G17" s="151">
        <v>1300</v>
      </c>
      <c r="H17" s="151">
        <v>1300</v>
      </c>
      <c r="I17" s="152">
        <v>45859</v>
      </c>
      <c r="J17" s="150" t="s">
        <v>1486</v>
      </c>
      <c r="K17" s="153"/>
      <c r="S17" s="155"/>
      <c r="T17" s="155"/>
    </row>
    <row r="18" spans="1:20" s="154" customFormat="1" ht="180" hidden="1">
      <c r="A18" s="150" t="s">
        <v>13</v>
      </c>
      <c r="B18" s="150" t="s">
        <v>1476</v>
      </c>
      <c r="C18" s="150">
        <v>740</v>
      </c>
      <c r="D18" s="150" t="s">
        <v>1460</v>
      </c>
      <c r="E18" s="150">
        <v>1</v>
      </c>
      <c r="F18" s="150" t="s">
        <v>1440</v>
      </c>
      <c r="G18" s="156">
        <v>1300</v>
      </c>
      <c r="H18" s="157">
        <v>1300</v>
      </c>
      <c r="I18" s="152"/>
      <c r="J18" s="150" t="s">
        <v>1488</v>
      </c>
      <c r="K18" s="153"/>
      <c r="S18" s="155"/>
      <c r="T18" s="155"/>
    </row>
    <row r="19" spans="1:20" s="154" customFormat="1" ht="180" hidden="1">
      <c r="A19" s="150" t="s">
        <v>13</v>
      </c>
      <c r="B19" s="150" t="s">
        <v>1386</v>
      </c>
      <c r="C19" s="150">
        <v>732</v>
      </c>
      <c r="D19" s="150" t="s">
        <v>1461</v>
      </c>
      <c r="E19" s="150">
        <v>1</v>
      </c>
      <c r="F19" s="150" t="s">
        <v>1412</v>
      </c>
      <c r="G19" s="151">
        <v>1300</v>
      </c>
      <c r="H19" s="151">
        <v>1300</v>
      </c>
      <c r="I19" s="152"/>
      <c r="J19" s="150" t="s">
        <v>1489</v>
      </c>
      <c r="K19" s="153"/>
      <c r="S19" s="155"/>
      <c r="T19" s="155"/>
    </row>
    <row r="20" spans="1:20" s="154" customFormat="1" ht="180" hidden="1">
      <c r="A20" s="150" t="s">
        <v>13</v>
      </c>
      <c r="B20" s="150" t="s">
        <v>1402</v>
      </c>
      <c r="C20" s="150">
        <v>741</v>
      </c>
      <c r="D20" s="150" t="s">
        <v>1462</v>
      </c>
      <c r="E20" s="150">
        <v>1</v>
      </c>
      <c r="F20" s="150" t="s">
        <v>1415</v>
      </c>
      <c r="G20" s="156">
        <v>1300</v>
      </c>
      <c r="H20" s="157">
        <v>1300</v>
      </c>
      <c r="I20" s="152">
        <v>45852</v>
      </c>
      <c r="J20" s="150" t="s">
        <v>1484</v>
      </c>
      <c r="K20" s="153"/>
      <c r="S20" s="155"/>
      <c r="T20" s="155"/>
    </row>
    <row r="21" spans="1:20" s="154" customFormat="1" ht="180" hidden="1">
      <c r="A21" s="150" t="s">
        <v>13</v>
      </c>
      <c r="B21" s="150" t="s">
        <v>1382</v>
      </c>
      <c r="C21" s="150">
        <v>740</v>
      </c>
      <c r="D21" s="150" t="s">
        <v>1463</v>
      </c>
      <c r="E21" s="150">
        <v>1</v>
      </c>
      <c r="F21" s="150" t="s">
        <v>1363</v>
      </c>
      <c r="G21" s="156">
        <v>1300</v>
      </c>
      <c r="H21" s="157">
        <v>1300</v>
      </c>
      <c r="I21" s="152">
        <v>45848</v>
      </c>
      <c r="J21" s="150" t="s">
        <v>1490</v>
      </c>
      <c r="K21" s="153"/>
      <c r="S21" s="155"/>
      <c r="T21" s="155"/>
    </row>
    <row r="22" spans="1:20" s="154" customFormat="1" ht="156" hidden="1">
      <c r="A22" s="150" t="s">
        <v>13</v>
      </c>
      <c r="B22" s="150" t="s">
        <v>1436</v>
      </c>
      <c r="C22" s="150">
        <v>731</v>
      </c>
      <c r="D22" s="150" t="s">
        <v>1464</v>
      </c>
      <c r="E22" s="150">
        <v>2</v>
      </c>
      <c r="F22" s="150" t="s">
        <v>1411</v>
      </c>
      <c r="G22" s="151">
        <v>1300</v>
      </c>
      <c r="H22" s="151">
        <v>2600</v>
      </c>
      <c r="I22" s="152">
        <v>45839</v>
      </c>
      <c r="J22" s="150" t="s">
        <v>1287</v>
      </c>
      <c r="K22" s="153"/>
      <c r="S22" s="155"/>
      <c r="T22" s="155"/>
    </row>
    <row r="23" spans="1:20" hidden="1">
      <c r="H23" s="149">
        <f>SUM(H2:H22)</f>
        <v>34900</v>
      </c>
    </row>
  </sheetData>
  <autoFilter ref="A1:L23" xr:uid="{5321AAE2-3D65-4CB8-B88C-145233387BEE}">
    <filterColumn colId="1">
      <filters>
        <filter val="RECOLHID 18/09/25 ENCARREGADO MONTE VERDE RAFAEL"/>
        <filter val="RECOLHIDO 02/10/25 ENCARREGADO MONTE VERDE RAFAEL"/>
      </filters>
    </filterColumn>
  </autoFilter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7F060-6C89-43B7-8787-E3255652083B}">
  <sheetPr codeName="Planilha8"/>
  <dimension ref="A1:T20"/>
  <sheetViews>
    <sheetView topLeftCell="A10" zoomScaleNormal="100" workbookViewId="0">
      <selection activeCell="F14" sqref="F14"/>
    </sheetView>
  </sheetViews>
  <sheetFormatPr defaultRowHeight="15"/>
  <cols>
    <col min="1" max="1" width="17.28515625" customWidth="1"/>
    <col min="2" max="2" width="14.5703125" customWidth="1"/>
    <col min="4" max="4" width="12.85546875" customWidth="1"/>
    <col min="6" max="6" width="17.140625" customWidth="1"/>
    <col min="7" max="7" width="10.5703125" style="147" bestFit="1" customWidth="1"/>
    <col min="8" max="8" width="11.7109375" style="147" bestFit="1" customWidth="1"/>
    <col min="9" max="9" width="11.5703125" customWidth="1"/>
    <col min="10" max="10" width="22.85546875" customWidth="1"/>
    <col min="11" max="11" width="19.85546875" customWidth="1"/>
  </cols>
  <sheetData>
    <row r="1" spans="1:20" ht="47.25" customHeight="1">
      <c r="A1" s="160" t="s">
        <v>0</v>
      </c>
      <c r="B1" s="160" t="s">
        <v>1</v>
      </c>
      <c r="C1" s="160" t="s">
        <v>2</v>
      </c>
      <c r="D1" s="160" t="s">
        <v>3</v>
      </c>
      <c r="E1" s="160" t="s">
        <v>4</v>
      </c>
      <c r="F1" s="160" t="s">
        <v>5</v>
      </c>
      <c r="G1" s="161" t="s">
        <v>954</v>
      </c>
      <c r="H1" s="161" t="s">
        <v>955</v>
      </c>
      <c r="I1" s="160" t="s">
        <v>10</v>
      </c>
      <c r="J1" s="160" t="s">
        <v>12</v>
      </c>
      <c r="K1" s="162" t="s">
        <v>956</v>
      </c>
      <c r="L1" s="159"/>
    </row>
    <row r="2" spans="1:20" s="154" customFormat="1" ht="90" customHeight="1">
      <c r="A2" s="163" t="s">
        <v>13</v>
      </c>
      <c r="B2" s="163" t="s">
        <v>1491</v>
      </c>
      <c r="C2" s="163">
        <v>755</v>
      </c>
      <c r="D2" s="163" t="s">
        <v>1492</v>
      </c>
      <c r="E2" s="163">
        <v>1</v>
      </c>
      <c r="F2" s="163" t="s">
        <v>1493</v>
      </c>
      <c r="G2" s="164">
        <v>980</v>
      </c>
      <c r="H2" s="165">
        <v>980</v>
      </c>
      <c r="I2" s="166">
        <v>45944</v>
      </c>
      <c r="J2" s="163" t="s">
        <v>1477</v>
      </c>
      <c r="K2" s="167"/>
      <c r="L2" s="168"/>
      <c r="T2" s="158"/>
    </row>
    <row r="3" spans="1:20" s="154" customFormat="1" ht="90" customHeight="1">
      <c r="A3" s="163" t="s">
        <v>13</v>
      </c>
      <c r="B3" s="80" t="s">
        <v>1511</v>
      </c>
      <c r="C3" s="163">
        <v>756</v>
      </c>
      <c r="D3" s="163" t="s">
        <v>1496</v>
      </c>
      <c r="E3" s="163">
        <v>1</v>
      </c>
      <c r="F3" s="163" t="s">
        <v>1472</v>
      </c>
      <c r="G3" s="169">
        <v>980</v>
      </c>
      <c r="H3" s="169">
        <v>980</v>
      </c>
      <c r="I3" s="166">
        <v>45915</v>
      </c>
      <c r="J3" s="163" t="s">
        <v>1477</v>
      </c>
      <c r="K3" s="167"/>
      <c r="L3" s="168"/>
    </row>
    <row r="4" spans="1:20" s="154" customFormat="1" ht="90" customHeight="1">
      <c r="A4" s="163" t="s">
        <v>13</v>
      </c>
      <c r="B4" s="80" t="s">
        <v>1515</v>
      </c>
      <c r="C4" s="163">
        <v>759</v>
      </c>
      <c r="D4" s="163" t="s">
        <v>1497</v>
      </c>
      <c r="E4" s="163">
        <v>1</v>
      </c>
      <c r="F4" s="163" t="s">
        <v>1468</v>
      </c>
      <c r="G4" s="169">
        <v>980</v>
      </c>
      <c r="H4" s="169">
        <v>980</v>
      </c>
      <c r="I4" s="166">
        <v>45911</v>
      </c>
      <c r="J4" s="163" t="s">
        <v>1478</v>
      </c>
      <c r="K4" s="167"/>
      <c r="L4" s="168"/>
    </row>
    <row r="5" spans="1:20" s="154" customFormat="1" ht="90" customHeight="1">
      <c r="A5" s="163" t="s">
        <v>13</v>
      </c>
      <c r="B5" s="163" t="s">
        <v>1498</v>
      </c>
      <c r="C5" s="163">
        <v>760</v>
      </c>
      <c r="D5" s="163" t="s">
        <v>1499</v>
      </c>
      <c r="E5" s="163">
        <v>1</v>
      </c>
      <c r="F5" s="163" t="s">
        <v>1465</v>
      </c>
      <c r="G5" s="169">
        <v>1300</v>
      </c>
      <c r="H5" s="169">
        <v>1300</v>
      </c>
      <c r="I5" s="166">
        <v>45924</v>
      </c>
      <c r="J5" s="163" t="s">
        <v>1479</v>
      </c>
      <c r="K5" s="167"/>
      <c r="L5" s="168"/>
    </row>
    <row r="6" spans="1:20" s="154" customFormat="1" ht="90" customHeight="1">
      <c r="A6" s="163" t="s">
        <v>13</v>
      </c>
      <c r="B6" s="163" t="s">
        <v>1386</v>
      </c>
      <c r="C6" s="163">
        <v>761</v>
      </c>
      <c r="D6" s="163" t="s">
        <v>1500</v>
      </c>
      <c r="E6" s="163">
        <v>1</v>
      </c>
      <c r="F6" s="163" t="s">
        <v>1412</v>
      </c>
      <c r="G6" s="169">
        <v>1300</v>
      </c>
      <c r="H6" s="169">
        <v>1300</v>
      </c>
      <c r="I6" s="166">
        <v>45903</v>
      </c>
      <c r="J6" s="163" t="s">
        <v>1480</v>
      </c>
      <c r="K6" s="167"/>
      <c r="L6" s="168"/>
    </row>
    <row r="7" spans="1:20" s="154" customFormat="1" ht="90" customHeight="1">
      <c r="A7" s="163" t="s">
        <v>13</v>
      </c>
      <c r="B7" s="163" t="s">
        <v>1509</v>
      </c>
      <c r="C7" s="163">
        <v>762</v>
      </c>
      <c r="D7" s="163" t="s">
        <v>1501</v>
      </c>
      <c r="E7" s="163">
        <v>4</v>
      </c>
      <c r="F7" s="163" t="s">
        <v>1450</v>
      </c>
      <c r="G7" s="169">
        <v>1300</v>
      </c>
      <c r="H7" s="169">
        <v>5200</v>
      </c>
      <c r="I7" s="166">
        <v>45894</v>
      </c>
      <c r="J7" s="163" t="s">
        <v>1481</v>
      </c>
      <c r="K7" s="167"/>
      <c r="L7" s="168"/>
      <c r="S7" s="155"/>
      <c r="T7" s="155"/>
    </row>
    <row r="8" spans="1:20" s="154" customFormat="1" ht="90" customHeight="1">
      <c r="A8" s="163" t="s">
        <v>13</v>
      </c>
      <c r="B8" s="163" t="s">
        <v>1509</v>
      </c>
      <c r="C8" s="163">
        <v>762</v>
      </c>
      <c r="D8" s="163" t="s">
        <v>1502</v>
      </c>
      <c r="E8" s="163">
        <v>1</v>
      </c>
      <c r="F8" s="163" t="s">
        <v>1411</v>
      </c>
      <c r="G8" s="169">
        <v>1300</v>
      </c>
      <c r="H8" s="169">
        <v>1300</v>
      </c>
      <c r="I8" s="166">
        <v>45890</v>
      </c>
      <c r="J8" s="163" t="s">
        <v>1482</v>
      </c>
      <c r="K8" s="167"/>
      <c r="L8" s="168"/>
      <c r="S8" s="155"/>
      <c r="T8" s="155"/>
    </row>
    <row r="9" spans="1:20" s="154" customFormat="1" ht="90" customHeight="1">
      <c r="A9" s="163" t="s">
        <v>13</v>
      </c>
      <c r="B9" s="80" t="s">
        <v>1512</v>
      </c>
      <c r="C9" s="163">
        <v>767</v>
      </c>
      <c r="D9" s="163" t="s">
        <v>1503</v>
      </c>
      <c r="E9" s="163">
        <v>2</v>
      </c>
      <c r="F9" s="163" t="s">
        <v>1438</v>
      </c>
      <c r="G9" s="164">
        <v>1300</v>
      </c>
      <c r="H9" s="165">
        <v>2600</v>
      </c>
      <c r="I9" s="166"/>
      <c r="J9" s="163" t="s">
        <v>1480</v>
      </c>
      <c r="K9" s="167"/>
      <c r="L9" s="168"/>
      <c r="S9" s="155"/>
      <c r="T9" s="155"/>
    </row>
    <row r="10" spans="1:20" s="154" customFormat="1" ht="90" customHeight="1">
      <c r="A10" s="163" t="s">
        <v>13</v>
      </c>
      <c r="B10" s="163" t="s">
        <v>1382</v>
      </c>
      <c r="C10" s="163">
        <v>765</v>
      </c>
      <c r="D10" s="163" t="s">
        <v>1503</v>
      </c>
      <c r="E10" s="163">
        <v>1</v>
      </c>
      <c r="F10" s="163" t="s">
        <v>1408</v>
      </c>
      <c r="G10" s="164">
        <v>980</v>
      </c>
      <c r="H10" s="165">
        <v>980</v>
      </c>
      <c r="I10" s="166"/>
      <c r="J10" s="163" t="s">
        <v>1485</v>
      </c>
      <c r="K10" s="167"/>
      <c r="L10" s="168"/>
      <c r="S10" s="155"/>
      <c r="T10" s="155"/>
    </row>
    <row r="11" spans="1:20" s="154" customFormat="1" ht="90" customHeight="1">
      <c r="A11" s="163" t="s">
        <v>13</v>
      </c>
      <c r="B11" s="163" t="s">
        <v>1382</v>
      </c>
      <c r="C11" s="163">
        <v>766</v>
      </c>
      <c r="D11" s="163" t="s">
        <v>1504</v>
      </c>
      <c r="E11" s="163">
        <v>2</v>
      </c>
      <c r="F11" s="163" t="s">
        <v>1367</v>
      </c>
      <c r="G11" s="164">
        <v>1500</v>
      </c>
      <c r="H11" s="165">
        <v>3000</v>
      </c>
      <c r="I11" s="166"/>
      <c r="J11" s="163" t="s">
        <v>1486</v>
      </c>
      <c r="K11" s="167"/>
      <c r="L11" s="168"/>
      <c r="S11" s="155"/>
      <c r="T11" s="155"/>
    </row>
    <row r="12" spans="1:20" s="154" customFormat="1" ht="90" customHeight="1">
      <c r="A12" s="163" t="s">
        <v>13</v>
      </c>
      <c r="B12" s="80" t="s">
        <v>1510</v>
      </c>
      <c r="C12" s="163">
        <v>765</v>
      </c>
      <c r="D12" s="163" t="s">
        <v>1505</v>
      </c>
      <c r="E12" s="163">
        <v>1</v>
      </c>
      <c r="F12" s="163" t="s">
        <v>1407</v>
      </c>
      <c r="G12" s="164">
        <v>980</v>
      </c>
      <c r="H12" s="165">
        <v>980</v>
      </c>
      <c r="I12" s="166">
        <v>45843</v>
      </c>
      <c r="J12" s="163" t="s">
        <v>1483</v>
      </c>
      <c r="K12" s="167"/>
      <c r="L12" s="168"/>
      <c r="S12" s="155"/>
      <c r="T12" s="155"/>
    </row>
    <row r="13" spans="1:20" s="154" customFormat="1" ht="90" customHeight="1">
      <c r="A13" s="163" t="s">
        <v>13</v>
      </c>
      <c r="B13" s="163" t="s">
        <v>1402</v>
      </c>
      <c r="C13" s="163">
        <v>757</v>
      </c>
      <c r="D13" s="163" t="s">
        <v>1456</v>
      </c>
      <c r="E13" s="163">
        <v>1</v>
      </c>
      <c r="F13" s="163" t="s">
        <v>1406</v>
      </c>
      <c r="G13" s="164">
        <v>800</v>
      </c>
      <c r="H13" s="165">
        <v>800</v>
      </c>
      <c r="I13" s="166"/>
      <c r="J13" s="163" t="s">
        <v>1486</v>
      </c>
      <c r="K13" s="167"/>
      <c r="L13" s="168"/>
      <c r="S13" s="155"/>
      <c r="T13" s="155"/>
    </row>
    <row r="14" spans="1:20" s="154" customFormat="1" ht="90" customHeight="1">
      <c r="A14" s="163" t="s">
        <v>13</v>
      </c>
      <c r="B14" s="80" t="s">
        <v>1513</v>
      </c>
      <c r="C14" s="163">
        <v>763</v>
      </c>
      <c r="D14" s="163" t="s">
        <v>1503</v>
      </c>
      <c r="E14" s="163">
        <v>2</v>
      </c>
      <c r="F14" s="80" t="s">
        <v>1514</v>
      </c>
      <c r="G14" s="169">
        <v>1300</v>
      </c>
      <c r="H14" s="169">
        <v>2600</v>
      </c>
      <c r="I14" s="166"/>
      <c r="J14" s="163" t="s">
        <v>1487</v>
      </c>
      <c r="K14" s="167"/>
      <c r="L14" s="168"/>
      <c r="S14" s="155"/>
      <c r="T14" s="155"/>
    </row>
    <row r="15" spans="1:20" s="154" customFormat="1" ht="90" customHeight="1">
      <c r="A15" s="163" t="s">
        <v>13</v>
      </c>
      <c r="B15" s="163" t="s">
        <v>1386</v>
      </c>
      <c r="C15" s="163">
        <v>761</v>
      </c>
      <c r="D15" s="163" t="s">
        <v>1502</v>
      </c>
      <c r="E15" s="163">
        <v>1</v>
      </c>
      <c r="F15" s="163" t="s">
        <v>1412</v>
      </c>
      <c r="G15" s="169">
        <v>1300</v>
      </c>
      <c r="H15" s="169">
        <v>1300</v>
      </c>
      <c r="I15" s="166">
        <v>45859</v>
      </c>
      <c r="J15" s="163" t="s">
        <v>1486</v>
      </c>
      <c r="K15" s="167"/>
      <c r="L15" s="168"/>
      <c r="S15" s="155"/>
      <c r="T15" s="155"/>
    </row>
    <row r="16" spans="1:20" s="154" customFormat="1" ht="90" customHeight="1">
      <c r="A16" s="163" t="s">
        <v>13</v>
      </c>
      <c r="B16" s="163" t="s">
        <v>1386</v>
      </c>
      <c r="C16" s="163">
        <v>761</v>
      </c>
      <c r="D16" s="163" t="s">
        <v>1506</v>
      </c>
      <c r="E16" s="163">
        <v>1</v>
      </c>
      <c r="F16" s="163" t="s">
        <v>1412</v>
      </c>
      <c r="G16" s="169">
        <v>1300</v>
      </c>
      <c r="H16" s="169">
        <v>1300</v>
      </c>
      <c r="I16" s="166"/>
      <c r="J16" s="163" t="s">
        <v>1489</v>
      </c>
      <c r="K16" s="167"/>
      <c r="L16" s="168"/>
      <c r="S16" s="155"/>
      <c r="T16" s="155"/>
    </row>
    <row r="17" spans="1:20" s="154" customFormat="1" ht="90" customHeight="1">
      <c r="A17" s="163" t="s">
        <v>13</v>
      </c>
      <c r="B17" s="163" t="s">
        <v>1402</v>
      </c>
      <c r="C17" s="163">
        <v>758</v>
      </c>
      <c r="D17" s="163" t="s">
        <v>1492</v>
      </c>
      <c r="E17" s="163">
        <v>1</v>
      </c>
      <c r="F17" s="163" t="s">
        <v>1415</v>
      </c>
      <c r="G17" s="164">
        <v>1300</v>
      </c>
      <c r="H17" s="165">
        <v>1300</v>
      </c>
      <c r="I17" s="166">
        <v>45852</v>
      </c>
      <c r="J17" s="163" t="s">
        <v>1484</v>
      </c>
      <c r="K17" s="167"/>
      <c r="L17" s="168"/>
      <c r="S17" s="155"/>
      <c r="T17" s="155"/>
    </row>
    <row r="18" spans="1:20" s="154" customFormat="1" ht="90" customHeight="1">
      <c r="A18" s="163" t="s">
        <v>13</v>
      </c>
      <c r="B18" s="163" t="s">
        <v>1382</v>
      </c>
      <c r="C18" s="163">
        <v>764</v>
      </c>
      <c r="D18" s="163" t="s">
        <v>1507</v>
      </c>
      <c r="E18" s="163">
        <v>1</v>
      </c>
      <c r="F18" s="163" t="s">
        <v>1363</v>
      </c>
      <c r="G18" s="164">
        <v>1300</v>
      </c>
      <c r="H18" s="165">
        <v>1300</v>
      </c>
      <c r="I18" s="166">
        <v>45848</v>
      </c>
      <c r="J18" s="163" t="s">
        <v>1490</v>
      </c>
      <c r="K18" s="167"/>
      <c r="L18" s="168"/>
      <c r="S18" s="155"/>
      <c r="T18" s="155"/>
    </row>
    <row r="19" spans="1:20" s="154" customFormat="1" ht="90" customHeight="1">
      <c r="A19" s="163" t="s">
        <v>13</v>
      </c>
      <c r="B19" s="163" t="s">
        <v>1436</v>
      </c>
      <c r="C19" s="163">
        <v>762</v>
      </c>
      <c r="D19" s="163" t="s">
        <v>1508</v>
      </c>
      <c r="E19" s="163">
        <v>2</v>
      </c>
      <c r="F19" s="163" t="s">
        <v>1411</v>
      </c>
      <c r="G19" s="169">
        <v>1300</v>
      </c>
      <c r="H19" s="169">
        <v>2600</v>
      </c>
      <c r="I19" s="166">
        <v>45839</v>
      </c>
      <c r="J19" s="163" t="s">
        <v>1287</v>
      </c>
      <c r="K19" s="167"/>
      <c r="L19" s="168"/>
      <c r="S19" s="155"/>
      <c r="T19" s="155"/>
    </row>
    <row r="20" spans="1:20">
      <c r="H20" s="149">
        <f>SUM(H2:H19)</f>
        <v>30800</v>
      </c>
    </row>
  </sheetData>
  <autoFilter ref="A1:L20" xr:uid="{5321AAE2-3D65-4CB8-B88C-145233387BEE}"/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CEC9-7DF1-4CFD-9E4C-FEA7117380CC}">
  <sheetPr codeName="Planilha9" filterMode="1"/>
  <dimension ref="A1:O20"/>
  <sheetViews>
    <sheetView workbookViewId="0">
      <selection activeCell="D11" sqref="D11"/>
    </sheetView>
  </sheetViews>
  <sheetFormatPr defaultRowHeight="15"/>
  <cols>
    <col min="1" max="1" width="20.140625" customWidth="1"/>
    <col min="2" max="2" width="14.140625" customWidth="1"/>
    <col min="4" max="4" width="15.28515625" customWidth="1"/>
    <col min="6" max="6" width="15" customWidth="1"/>
    <col min="7" max="7" width="12.42578125" style="147" customWidth="1"/>
    <col min="8" max="8" width="12.28515625" customWidth="1"/>
    <col min="9" max="9" width="12.5703125" customWidth="1"/>
    <col min="10" max="10" width="22.28515625" customWidth="1"/>
    <col min="15" max="15" width="11.7109375" bestFit="1" customWidth="1"/>
  </cols>
  <sheetData>
    <row r="1" spans="1:11" ht="47.25" customHeight="1">
      <c r="A1" s="5" t="s">
        <v>0</v>
      </c>
      <c r="B1" s="6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146" t="s">
        <v>954</v>
      </c>
      <c r="H1" s="146" t="s">
        <v>955</v>
      </c>
      <c r="I1" s="7" t="s">
        <v>10</v>
      </c>
      <c r="J1" s="14" t="s">
        <v>12</v>
      </c>
      <c r="K1" s="15" t="s">
        <v>956</v>
      </c>
    </row>
    <row r="2" spans="1:11" s="154" customFormat="1" ht="103.5" hidden="1" customHeight="1">
      <c r="A2" s="163" t="s">
        <v>13</v>
      </c>
      <c r="B2" s="163" t="s">
        <v>1491</v>
      </c>
      <c r="C2" s="163">
        <v>814</v>
      </c>
      <c r="D2" s="163" t="s">
        <v>1516</v>
      </c>
      <c r="E2" s="163">
        <v>1</v>
      </c>
      <c r="F2" s="163" t="s">
        <v>1493</v>
      </c>
      <c r="G2" s="169">
        <v>980</v>
      </c>
      <c r="H2" s="165">
        <v>980</v>
      </c>
      <c r="I2" s="166">
        <v>45944</v>
      </c>
      <c r="J2" s="163" t="s">
        <v>1477</v>
      </c>
      <c r="K2" s="167"/>
    </row>
    <row r="3" spans="1:11" s="154" customFormat="1" ht="98.25" hidden="1" customHeight="1">
      <c r="A3" s="163" t="s">
        <v>13</v>
      </c>
      <c r="B3" s="163" t="s">
        <v>1511</v>
      </c>
      <c r="C3" s="163">
        <v>815</v>
      </c>
      <c r="D3" s="163" t="s">
        <v>1517</v>
      </c>
      <c r="E3" s="163">
        <v>1</v>
      </c>
      <c r="F3" s="163" t="s">
        <v>1472</v>
      </c>
      <c r="G3" s="169">
        <v>980</v>
      </c>
      <c r="H3" s="169">
        <v>980</v>
      </c>
      <c r="I3" s="166">
        <v>45915</v>
      </c>
      <c r="J3" s="163" t="s">
        <v>1477</v>
      </c>
      <c r="K3" s="167"/>
    </row>
    <row r="4" spans="1:11" s="154" customFormat="1" ht="110.25" hidden="1" customHeight="1">
      <c r="A4" s="163" t="s">
        <v>13</v>
      </c>
      <c r="B4" s="163" t="s">
        <v>1498</v>
      </c>
      <c r="C4" s="163">
        <v>818</v>
      </c>
      <c r="D4" s="163" t="s">
        <v>1518</v>
      </c>
      <c r="E4" s="163">
        <v>1</v>
      </c>
      <c r="F4" s="163" t="s">
        <v>1465</v>
      </c>
      <c r="G4" s="169">
        <v>1300</v>
      </c>
      <c r="H4" s="169">
        <v>1300</v>
      </c>
      <c r="I4" s="166">
        <v>45924</v>
      </c>
      <c r="J4" s="163" t="s">
        <v>1479</v>
      </c>
      <c r="K4" s="167"/>
    </row>
    <row r="5" spans="1:11" s="154" customFormat="1" ht="108" hidden="1" customHeight="1">
      <c r="A5" s="163" t="s">
        <v>13</v>
      </c>
      <c r="B5" s="163" t="s">
        <v>1386</v>
      </c>
      <c r="C5" s="163">
        <v>819</v>
      </c>
      <c r="D5" s="163" t="s">
        <v>1519</v>
      </c>
      <c r="E5" s="163">
        <v>1</v>
      </c>
      <c r="F5" s="163" t="s">
        <v>1412</v>
      </c>
      <c r="G5" s="169">
        <v>1300</v>
      </c>
      <c r="H5" s="169">
        <v>1300</v>
      </c>
      <c r="I5" s="166">
        <v>45903</v>
      </c>
      <c r="J5" s="163" t="s">
        <v>1480</v>
      </c>
      <c r="K5" s="167"/>
    </row>
    <row r="6" spans="1:11" s="154" customFormat="1" ht="103.5" hidden="1" customHeight="1">
      <c r="A6" s="163" t="s">
        <v>13</v>
      </c>
      <c r="B6" s="163" t="s">
        <v>1509</v>
      </c>
      <c r="C6" s="163">
        <v>820</v>
      </c>
      <c r="D6" s="163" t="s">
        <v>1520</v>
      </c>
      <c r="E6" s="163">
        <v>4</v>
      </c>
      <c r="F6" s="163" t="s">
        <v>1450</v>
      </c>
      <c r="G6" s="169">
        <v>1300</v>
      </c>
      <c r="H6" s="169">
        <v>5200</v>
      </c>
      <c r="I6" s="166">
        <v>45894</v>
      </c>
      <c r="J6" s="163" t="s">
        <v>1481</v>
      </c>
      <c r="K6" s="167"/>
    </row>
    <row r="7" spans="1:11" s="154" customFormat="1" ht="108" hidden="1" customHeight="1">
      <c r="A7" s="163" t="s">
        <v>13</v>
      </c>
      <c r="B7" s="163" t="s">
        <v>1509</v>
      </c>
      <c r="C7" s="163">
        <v>820</v>
      </c>
      <c r="D7" s="163" t="s">
        <v>1521</v>
      </c>
      <c r="E7" s="163">
        <v>1</v>
      </c>
      <c r="F7" s="163" t="s">
        <v>1411</v>
      </c>
      <c r="G7" s="169">
        <v>1300</v>
      </c>
      <c r="H7" s="169">
        <v>1300</v>
      </c>
      <c r="I7" s="166">
        <v>45890</v>
      </c>
      <c r="J7" s="163" t="s">
        <v>1482</v>
      </c>
      <c r="K7" s="167"/>
    </row>
    <row r="8" spans="1:11" s="154" customFormat="1" ht="102.75" hidden="1" customHeight="1">
      <c r="A8" s="163" t="s">
        <v>13</v>
      </c>
      <c r="B8" s="163" t="s">
        <v>1512</v>
      </c>
      <c r="C8" s="163">
        <v>822</v>
      </c>
      <c r="D8" s="163" t="s">
        <v>1522</v>
      </c>
      <c r="E8" s="163">
        <v>2</v>
      </c>
      <c r="F8" s="163" t="s">
        <v>1438</v>
      </c>
      <c r="G8" s="169">
        <v>1300</v>
      </c>
      <c r="H8" s="165">
        <v>2600</v>
      </c>
      <c r="I8" s="166"/>
      <c r="J8" s="163" t="s">
        <v>1480</v>
      </c>
      <c r="K8" s="167"/>
    </row>
    <row r="9" spans="1:11" s="154" customFormat="1" ht="98.25" customHeight="1">
      <c r="A9" s="163" t="s">
        <v>13</v>
      </c>
      <c r="B9" s="163" t="s">
        <v>1529</v>
      </c>
      <c r="C9" s="163">
        <v>823</v>
      </c>
      <c r="D9" s="163" t="s">
        <v>1523</v>
      </c>
      <c r="E9" s="163">
        <v>1</v>
      </c>
      <c r="F9" s="163" t="s">
        <v>1408</v>
      </c>
      <c r="G9" s="169">
        <v>980</v>
      </c>
      <c r="H9" s="165">
        <v>980</v>
      </c>
      <c r="I9" s="166"/>
      <c r="J9" s="163" t="s">
        <v>1485</v>
      </c>
      <c r="K9" s="167"/>
    </row>
    <row r="10" spans="1:11" s="154" customFormat="1" ht="90.75" customHeight="1">
      <c r="A10" s="163" t="s">
        <v>13</v>
      </c>
      <c r="B10" s="163" t="s">
        <v>1548</v>
      </c>
      <c r="C10" s="163">
        <v>824</v>
      </c>
      <c r="D10" s="163" t="s">
        <v>1524</v>
      </c>
      <c r="E10" s="163">
        <v>2</v>
      </c>
      <c r="F10" s="163" t="s">
        <v>1367</v>
      </c>
      <c r="G10" s="169">
        <v>1500</v>
      </c>
      <c r="H10" s="165">
        <v>3000</v>
      </c>
      <c r="I10" s="166"/>
      <c r="J10" s="163" t="s">
        <v>1486</v>
      </c>
      <c r="K10" s="167"/>
    </row>
    <row r="11" spans="1:11" s="154" customFormat="1" ht="98.25" customHeight="1">
      <c r="A11" s="163" t="s">
        <v>13</v>
      </c>
      <c r="B11" s="163" t="s">
        <v>1510</v>
      </c>
      <c r="C11" s="163">
        <v>823</v>
      </c>
      <c r="D11" s="163" t="s">
        <v>1525</v>
      </c>
      <c r="E11" s="163">
        <v>1</v>
      </c>
      <c r="F11" s="163" t="s">
        <v>1407</v>
      </c>
      <c r="G11" s="169">
        <v>980</v>
      </c>
      <c r="H11" s="165">
        <v>980</v>
      </c>
      <c r="I11" s="166">
        <v>45843</v>
      </c>
      <c r="J11" s="163" t="s">
        <v>1483</v>
      </c>
      <c r="K11" s="167"/>
    </row>
    <row r="12" spans="1:11" s="154" customFormat="1" ht="95.25" hidden="1" customHeight="1">
      <c r="A12" s="163" t="s">
        <v>13</v>
      </c>
      <c r="B12" s="163" t="s">
        <v>1402</v>
      </c>
      <c r="C12" s="163">
        <v>816</v>
      </c>
      <c r="D12" s="163" t="s">
        <v>1502</v>
      </c>
      <c r="E12" s="163">
        <v>1</v>
      </c>
      <c r="F12" s="163" t="s">
        <v>1406</v>
      </c>
      <c r="G12" s="169">
        <v>800</v>
      </c>
      <c r="H12" s="165">
        <v>800</v>
      </c>
      <c r="I12" s="166"/>
      <c r="J12" s="163" t="s">
        <v>1486</v>
      </c>
      <c r="K12" s="167"/>
    </row>
    <row r="13" spans="1:11" s="154" customFormat="1" ht="99.75" hidden="1" customHeight="1">
      <c r="A13" s="163" t="s">
        <v>13</v>
      </c>
      <c r="B13" s="163" t="s">
        <v>1513</v>
      </c>
      <c r="C13" s="163">
        <v>821</v>
      </c>
      <c r="D13" s="163" t="s">
        <v>1523</v>
      </c>
      <c r="E13" s="163">
        <v>1</v>
      </c>
      <c r="F13" s="163" t="s">
        <v>1514</v>
      </c>
      <c r="G13" s="169">
        <v>1300</v>
      </c>
      <c r="H13" s="169">
        <v>1300</v>
      </c>
      <c r="I13" s="166"/>
      <c r="J13" s="163" t="s">
        <v>1487</v>
      </c>
      <c r="K13" s="167"/>
    </row>
    <row r="14" spans="1:11" s="154" customFormat="1" ht="105.75" hidden="1" customHeight="1">
      <c r="A14" s="163" t="s">
        <v>13</v>
      </c>
      <c r="B14" s="163" t="s">
        <v>1547</v>
      </c>
      <c r="C14" s="163">
        <v>819</v>
      </c>
      <c r="D14" s="163" t="s">
        <v>1521</v>
      </c>
      <c r="E14" s="163">
        <v>1</v>
      </c>
      <c r="F14" s="163" t="s">
        <v>1412</v>
      </c>
      <c r="G14" s="169">
        <v>1300</v>
      </c>
      <c r="H14" s="169">
        <v>1300</v>
      </c>
      <c r="I14" s="166">
        <v>45859</v>
      </c>
      <c r="J14" s="163" t="s">
        <v>1486</v>
      </c>
      <c r="K14" s="167"/>
    </row>
    <row r="15" spans="1:11" s="154" customFormat="1" ht="107.25" hidden="1" customHeight="1">
      <c r="A15" s="163" t="s">
        <v>13</v>
      </c>
      <c r="B15" s="163" t="s">
        <v>1386</v>
      </c>
      <c r="C15" s="163">
        <v>819</v>
      </c>
      <c r="D15" s="163" t="s">
        <v>1526</v>
      </c>
      <c r="E15" s="163">
        <v>1</v>
      </c>
      <c r="F15" s="163" t="s">
        <v>1412</v>
      </c>
      <c r="G15" s="169">
        <v>1300</v>
      </c>
      <c r="H15" s="169">
        <v>1300</v>
      </c>
      <c r="I15" s="166"/>
      <c r="J15" s="163" t="s">
        <v>1489</v>
      </c>
      <c r="K15" s="167"/>
    </row>
    <row r="16" spans="1:11" s="154" customFormat="1" ht="117" hidden="1" customHeight="1">
      <c r="A16" s="163" t="s">
        <v>13</v>
      </c>
      <c r="B16" s="163" t="s">
        <v>1402</v>
      </c>
      <c r="C16" s="163">
        <v>817</v>
      </c>
      <c r="D16" s="163" t="s">
        <v>1516</v>
      </c>
      <c r="E16" s="163">
        <v>1</v>
      </c>
      <c r="F16" s="163" t="s">
        <v>1415</v>
      </c>
      <c r="G16" s="169">
        <v>1300</v>
      </c>
      <c r="H16" s="165">
        <v>1300</v>
      </c>
      <c r="I16" s="166">
        <v>45852</v>
      </c>
      <c r="J16" s="163" t="s">
        <v>1484</v>
      </c>
      <c r="K16" s="167"/>
    </row>
    <row r="17" spans="1:15" s="154" customFormat="1" ht="116.25" customHeight="1">
      <c r="A17" s="163" t="s">
        <v>13</v>
      </c>
      <c r="B17" s="163" t="s">
        <v>1382</v>
      </c>
      <c r="C17" s="163">
        <v>825</v>
      </c>
      <c r="D17" s="163" t="s">
        <v>1527</v>
      </c>
      <c r="E17" s="163">
        <v>1</v>
      </c>
      <c r="F17" s="163" t="s">
        <v>1363</v>
      </c>
      <c r="G17" s="169">
        <v>1300</v>
      </c>
      <c r="H17" s="165">
        <v>1300</v>
      </c>
      <c r="I17" s="166">
        <v>45848</v>
      </c>
      <c r="J17" s="163" t="s">
        <v>1490</v>
      </c>
      <c r="K17" s="167"/>
    </row>
    <row r="18" spans="1:15" s="154" customFormat="1" ht="111" hidden="1" customHeight="1">
      <c r="A18" s="163" t="s">
        <v>13</v>
      </c>
      <c r="B18" s="163" t="s">
        <v>1436</v>
      </c>
      <c r="C18" s="163">
        <v>820</v>
      </c>
      <c r="D18" s="163" t="s">
        <v>1528</v>
      </c>
      <c r="E18" s="163">
        <v>3</v>
      </c>
      <c r="F18" s="163" t="s">
        <v>1411</v>
      </c>
      <c r="G18" s="169">
        <v>1300</v>
      </c>
      <c r="H18" s="169">
        <v>3900</v>
      </c>
      <c r="I18" s="166">
        <v>45839</v>
      </c>
      <c r="J18" s="163" t="s">
        <v>1287</v>
      </c>
      <c r="K18" s="167"/>
      <c r="O18" s="155">
        <f>SUM(H19)</f>
        <v>29820</v>
      </c>
    </row>
    <row r="19" spans="1:15" hidden="1">
      <c r="H19" s="149">
        <f>SUM(H2:H18)</f>
        <v>29820</v>
      </c>
    </row>
    <row r="20" spans="1:15">
      <c r="H20" s="147"/>
    </row>
  </sheetData>
  <autoFilter ref="A1:T19" xr:uid="{18264DA4-52CF-481A-9188-9B85F8DC8C04}">
    <filterColumn colId="1">
      <filters>
        <filter val="ENCARREGADO YURE"/>
        <filter val="RECOLHIDO 08/12/25   ENCARREGADO YURE"/>
        <filter val="RECOLHIDO 10/11/25 ENCARREGADO YURE"/>
      </filters>
    </filterColumn>
  </autoFilter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64DA4-52CF-481A-9188-9B85F8DC8C04}">
  <sheetPr codeName="Planilha10" filterMode="1"/>
  <dimension ref="A1:X19"/>
  <sheetViews>
    <sheetView workbookViewId="0">
      <selection activeCell="F14" sqref="F14"/>
    </sheetView>
  </sheetViews>
  <sheetFormatPr defaultRowHeight="15"/>
  <cols>
    <col min="1" max="1" width="20.140625" customWidth="1"/>
    <col min="2" max="2" width="14.140625" customWidth="1"/>
    <col min="4" max="4" width="15.28515625" customWidth="1"/>
    <col min="6" max="6" width="15" customWidth="1"/>
    <col min="7" max="7" width="12.42578125" style="147" customWidth="1"/>
    <col min="8" max="8" width="12.28515625" customWidth="1"/>
    <col min="9" max="9" width="12.5703125" customWidth="1"/>
    <col min="10" max="10" width="22.28515625" customWidth="1"/>
    <col min="11" max="11" width="14.140625" customWidth="1"/>
    <col min="12" max="14" width="9.140625" style="1"/>
    <col min="15" max="15" width="11.7109375" style="1" bestFit="1" customWidth="1"/>
    <col min="16" max="24" width="9.140625" style="1"/>
  </cols>
  <sheetData>
    <row r="1" spans="1:15" ht="47.25" customHeight="1">
      <c r="A1" s="5" t="s">
        <v>0</v>
      </c>
      <c r="B1" s="6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146" t="s">
        <v>954</v>
      </c>
      <c r="H1" s="146" t="s">
        <v>955</v>
      </c>
      <c r="I1" s="7" t="s">
        <v>10</v>
      </c>
      <c r="J1" s="14" t="s">
        <v>12</v>
      </c>
      <c r="K1" s="15" t="s">
        <v>956</v>
      </c>
    </row>
    <row r="2" spans="1:15" s="154" customFormat="1" ht="117" hidden="1" customHeight="1">
      <c r="A2" s="163" t="s">
        <v>13</v>
      </c>
      <c r="B2" s="163" t="s">
        <v>1545</v>
      </c>
      <c r="C2" s="163">
        <v>15</v>
      </c>
      <c r="D2" s="163" t="s">
        <v>1537</v>
      </c>
      <c r="E2" s="163">
        <v>1</v>
      </c>
      <c r="F2" s="163" t="s">
        <v>1544</v>
      </c>
      <c r="G2" s="169">
        <v>1200</v>
      </c>
      <c r="H2" s="165">
        <v>1400</v>
      </c>
      <c r="I2" s="166">
        <v>46000</v>
      </c>
      <c r="J2" s="163" t="s">
        <v>1484</v>
      </c>
      <c r="K2" s="167"/>
    </row>
    <row r="3" spans="1:15" s="154" customFormat="1" ht="117" hidden="1" customHeight="1">
      <c r="A3" s="163" t="s">
        <v>13</v>
      </c>
      <c r="B3" s="163" t="s">
        <v>1402</v>
      </c>
      <c r="C3" s="163">
        <v>16</v>
      </c>
      <c r="D3" s="163" t="s">
        <v>1540</v>
      </c>
      <c r="E3" s="163">
        <v>1</v>
      </c>
      <c r="F3" s="163" t="s">
        <v>1542</v>
      </c>
      <c r="G3" s="169">
        <v>1300</v>
      </c>
      <c r="H3" s="165">
        <v>1300</v>
      </c>
      <c r="I3" s="166">
        <v>46027</v>
      </c>
      <c r="J3" s="163" t="s">
        <v>1484</v>
      </c>
      <c r="K3" s="167"/>
    </row>
    <row r="4" spans="1:15" s="154" customFormat="1" ht="117" hidden="1" customHeight="1">
      <c r="A4" s="163" t="s">
        <v>13</v>
      </c>
      <c r="B4" s="163" t="s">
        <v>1402</v>
      </c>
      <c r="C4" s="163">
        <v>17</v>
      </c>
      <c r="D4" s="163" t="s">
        <v>1540</v>
      </c>
      <c r="E4" s="163">
        <v>1</v>
      </c>
      <c r="F4" s="163" t="s">
        <v>1541</v>
      </c>
      <c r="G4" s="169">
        <v>1300</v>
      </c>
      <c r="H4" s="165">
        <v>1300</v>
      </c>
      <c r="I4" s="166">
        <v>46027</v>
      </c>
      <c r="J4" s="163" t="s">
        <v>1484</v>
      </c>
      <c r="K4" s="167"/>
    </row>
    <row r="5" spans="1:15" s="154" customFormat="1" ht="103.5" hidden="1" customHeight="1">
      <c r="A5" s="163" t="s">
        <v>13</v>
      </c>
      <c r="B5" s="163" t="s">
        <v>1491</v>
      </c>
      <c r="C5" s="163">
        <v>18</v>
      </c>
      <c r="D5" s="163" t="s">
        <v>1530</v>
      </c>
      <c r="E5" s="163">
        <v>1</v>
      </c>
      <c r="F5" s="163" t="s">
        <v>1493</v>
      </c>
      <c r="G5" s="169">
        <v>980</v>
      </c>
      <c r="H5" s="165">
        <v>980</v>
      </c>
      <c r="I5" s="166">
        <v>45944</v>
      </c>
      <c r="J5" s="163" t="s">
        <v>1477</v>
      </c>
      <c r="K5" s="167"/>
    </row>
    <row r="6" spans="1:15" s="154" customFormat="1" ht="110.25" hidden="1" customHeight="1">
      <c r="A6" s="163" t="s">
        <v>13</v>
      </c>
      <c r="B6" s="163" t="s">
        <v>1498</v>
      </c>
      <c r="C6" s="163">
        <v>19</v>
      </c>
      <c r="D6" s="163" t="s">
        <v>1531</v>
      </c>
      <c r="E6" s="163">
        <v>1</v>
      </c>
      <c r="F6" s="163" t="s">
        <v>1465</v>
      </c>
      <c r="G6" s="169">
        <v>1300</v>
      </c>
      <c r="H6" s="169">
        <v>1300</v>
      </c>
      <c r="I6" s="166">
        <v>45924</v>
      </c>
      <c r="J6" s="163" t="s">
        <v>1479</v>
      </c>
      <c r="K6" s="167"/>
    </row>
    <row r="7" spans="1:15" s="154" customFormat="1" ht="111" hidden="1" customHeight="1">
      <c r="A7" s="163" t="s">
        <v>13</v>
      </c>
      <c r="B7" s="163" t="s">
        <v>1436</v>
      </c>
      <c r="C7" s="163">
        <v>20</v>
      </c>
      <c r="D7" s="163" t="s">
        <v>1527</v>
      </c>
      <c r="E7" s="163">
        <v>1</v>
      </c>
      <c r="F7" s="163" t="s">
        <v>1543</v>
      </c>
      <c r="G7" s="169">
        <v>1300</v>
      </c>
      <c r="H7" s="169">
        <v>1300</v>
      </c>
      <c r="I7" s="166">
        <v>45971</v>
      </c>
      <c r="J7" s="163" t="s">
        <v>1287</v>
      </c>
      <c r="K7" s="167"/>
      <c r="O7" s="155"/>
    </row>
    <row r="8" spans="1:15" s="154" customFormat="1" ht="108" hidden="1" customHeight="1">
      <c r="A8" s="163" t="s">
        <v>13</v>
      </c>
      <c r="B8" s="163" t="s">
        <v>1386</v>
      </c>
      <c r="C8" s="163">
        <v>13</v>
      </c>
      <c r="D8" s="163" t="s">
        <v>1532</v>
      </c>
      <c r="E8" s="163">
        <v>1</v>
      </c>
      <c r="F8" s="163" t="s">
        <v>1412</v>
      </c>
      <c r="G8" s="169">
        <v>1300</v>
      </c>
      <c r="H8" s="169">
        <v>1300</v>
      </c>
      <c r="I8" s="166">
        <v>45903</v>
      </c>
      <c r="J8" s="163" t="s">
        <v>1480</v>
      </c>
      <c r="K8" s="167"/>
    </row>
    <row r="9" spans="1:15" s="154" customFormat="1" ht="103.5" hidden="1" customHeight="1">
      <c r="A9" s="163" t="s">
        <v>13</v>
      </c>
      <c r="B9" s="163" t="s">
        <v>1509</v>
      </c>
      <c r="C9" s="163">
        <v>14</v>
      </c>
      <c r="D9" s="163" t="s">
        <v>1533</v>
      </c>
      <c r="E9" s="163">
        <v>4</v>
      </c>
      <c r="F9" s="163" t="s">
        <v>1450</v>
      </c>
      <c r="G9" s="169">
        <v>1300</v>
      </c>
      <c r="H9" s="169">
        <v>5200</v>
      </c>
      <c r="I9" s="166">
        <v>45894</v>
      </c>
      <c r="J9" s="163" t="s">
        <v>1481</v>
      </c>
      <c r="K9" s="167"/>
    </row>
    <row r="10" spans="1:15" s="154" customFormat="1" ht="108" hidden="1" customHeight="1">
      <c r="A10" s="163" t="s">
        <v>13</v>
      </c>
      <c r="B10" s="163" t="s">
        <v>1509</v>
      </c>
      <c r="C10" s="163">
        <v>14</v>
      </c>
      <c r="D10" s="163" t="s">
        <v>1534</v>
      </c>
      <c r="E10" s="163">
        <v>1</v>
      </c>
      <c r="F10" s="163" t="s">
        <v>1411</v>
      </c>
      <c r="G10" s="169">
        <v>1300</v>
      </c>
      <c r="H10" s="169">
        <v>1300</v>
      </c>
      <c r="I10" s="166">
        <v>45890</v>
      </c>
      <c r="J10" s="163" t="s">
        <v>1482</v>
      </c>
      <c r="K10" s="167"/>
    </row>
    <row r="11" spans="1:15" s="154" customFormat="1" ht="98.25" hidden="1" customHeight="1">
      <c r="A11" s="163" t="s">
        <v>13</v>
      </c>
      <c r="B11" s="163" t="s">
        <v>1529</v>
      </c>
      <c r="C11" s="163">
        <v>21</v>
      </c>
      <c r="D11" s="163" t="s">
        <v>1535</v>
      </c>
      <c r="E11" s="163">
        <v>1</v>
      </c>
      <c r="F11" s="163" t="s">
        <v>1408</v>
      </c>
      <c r="G11" s="169">
        <v>980</v>
      </c>
      <c r="H11" s="165">
        <v>980</v>
      </c>
      <c r="I11" s="166"/>
      <c r="J11" s="163" t="s">
        <v>1485</v>
      </c>
      <c r="K11" s="167"/>
    </row>
    <row r="12" spans="1:15" s="154" customFormat="1" ht="90.75" hidden="1" customHeight="1">
      <c r="A12" s="163" t="s">
        <v>13</v>
      </c>
      <c r="B12" s="163" t="s">
        <v>1549</v>
      </c>
      <c r="C12" s="163">
        <v>22</v>
      </c>
      <c r="D12" s="163" t="s">
        <v>1536</v>
      </c>
      <c r="E12" s="163">
        <v>1</v>
      </c>
      <c r="F12" s="163" t="s">
        <v>1367</v>
      </c>
      <c r="G12" s="169">
        <v>1500</v>
      </c>
      <c r="H12" s="165">
        <v>1500</v>
      </c>
      <c r="I12" s="166"/>
      <c r="J12" s="163" t="s">
        <v>1486</v>
      </c>
      <c r="K12" s="167"/>
    </row>
    <row r="13" spans="1:15" s="154" customFormat="1" ht="95.25" hidden="1" customHeight="1">
      <c r="A13" s="163" t="s">
        <v>13</v>
      </c>
      <c r="B13" s="163" t="s">
        <v>1546</v>
      </c>
      <c r="C13" s="163">
        <v>23</v>
      </c>
      <c r="D13" s="163" t="s">
        <v>1550</v>
      </c>
      <c r="E13" s="163">
        <v>1</v>
      </c>
      <c r="F13" s="163" t="s">
        <v>1406</v>
      </c>
      <c r="G13" s="169">
        <v>800</v>
      </c>
      <c r="H13" s="165">
        <v>800</v>
      </c>
      <c r="I13" s="166"/>
      <c r="J13" s="163" t="s">
        <v>1486</v>
      </c>
      <c r="K13" s="167"/>
    </row>
    <row r="14" spans="1:15" s="154" customFormat="1" ht="107.25" hidden="1" customHeight="1">
      <c r="A14" s="163" t="s">
        <v>13</v>
      </c>
      <c r="B14" s="163" t="s">
        <v>1386</v>
      </c>
      <c r="C14" s="163">
        <v>13</v>
      </c>
      <c r="D14" s="163" t="s">
        <v>1537</v>
      </c>
      <c r="E14" s="163">
        <v>1</v>
      </c>
      <c r="F14" s="163" t="s">
        <v>1412</v>
      </c>
      <c r="G14" s="169">
        <v>1300</v>
      </c>
      <c r="H14" s="169">
        <v>1300</v>
      </c>
      <c r="I14" s="166"/>
      <c r="J14" s="163" t="s">
        <v>1489</v>
      </c>
      <c r="K14" s="167"/>
    </row>
    <row r="15" spans="1:15" s="154" customFormat="1" ht="117" hidden="1" customHeight="1">
      <c r="A15" s="163" t="s">
        <v>13</v>
      </c>
      <c r="B15" s="163" t="s">
        <v>1551</v>
      </c>
      <c r="C15" s="163">
        <v>24</v>
      </c>
      <c r="D15" s="163" t="s">
        <v>1552</v>
      </c>
      <c r="E15" s="163">
        <v>1</v>
      </c>
      <c r="F15" s="163" t="s">
        <v>1415</v>
      </c>
      <c r="G15" s="169">
        <v>1300</v>
      </c>
      <c r="H15" s="165">
        <v>1300</v>
      </c>
      <c r="I15" s="166">
        <v>45852</v>
      </c>
      <c r="J15" s="163" t="s">
        <v>1484</v>
      </c>
      <c r="K15" s="167"/>
    </row>
    <row r="16" spans="1:15" s="154" customFormat="1" ht="116.25" customHeight="1">
      <c r="A16" s="163" t="s">
        <v>13</v>
      </c>
      <c r="B16" s="163" t="s">
        <v>1382</v>
      </c>
      <c r="C16" s="163">
        <v>25</v>
      </c>
      <c r="D16" s="163" t="s">
        <v>1538</v>
      </c>
      <c r="E16" s="163">
        <v>1</v>
      </c>
      <c r="F16" s="163" t="s">
        <v>1363</v>
      </c>
      <c r="G16" s="169">
        <v>1300</v>
      </c>
      <c r="H16" s="165">
        <v>1300</v>
      </c>
      <c r="I16" s="166">
        <v>45848</v>
      </c>
      <c r="J16" s="163" t="s">
        <v>1490</v>
      </c>
      <c r="K16" s="167"/>
    </row>
    <row r="17" spans="1:15" s="154" customFormat="1" ht="111" hidden="1" customHeight="1">
      <c r="A17" s="163" t="s">
        <v>13</v>
      </c>
      <c r="B17" s="163" t="s">
        <v>1436</v>
      </c>
      <c r="C17" s="163">
        <v>14</v>
      </c>
      <c r="D17" s="163" t="s">
        <v>1539</v>
      </c>
      <c r="E17" s="163">
        <v>3</v>
      </c>
      <c r="F17" s="163" t="s">
        <v>1411</v>
      </c>
      <c r="G17" s="169">
        <v>1300</v>
      </c>
      <c r="H17" s="169">
        <v>3900</v>
      </c>
      <c r="I17" s="166">
        <v>45839</v>
      </c>
      <c r="J17" s="163" t="s">
        <v>1287</v>
      </c>
      <c r="K17" s="167"/>
      <c r="O17" s="155">
        <f>SUM(H18)</f>
        <v>26460</v>
      </c>
    </row>
    <row r="18" spans="1:15" hidden="1">
      <c r="A18" s="1"/>
      <c r="B18" s="1"/>
      <c r="C18" s="1"/>
      <c r="D18" s="1"/>
      <c r="E18" s="1"/>
      <c r="F18" s="1"/>
      <c r="G18" s="94"/>
      <c r="H18" s="94">
        <f>SUM(H2:H17)</f>
        <v>26460</v>
      </c>
      <c r="I18" s="1"/>
      <c r="J18" s="1"/>
      <c r="K18" s="1"/>
    </row>
    <row r="19" spans="1:15">
      <c r="H19" s="147"/>
    </row>
  </sheetData>
  <autoFilter ref="A1:T18" xr:uid="{18264DA4-52CF-481A-9188-9B85F8DC8C04}">
    <filterColumn colId="5">
      <filters>
        <filter val="VALE DAS ACACIAS ,RIBEIRÃO DAS NEVES"/>
      </filters>
    </filterColumn>
  </autoFilter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2CED-FEF4-4156-961B-B11C95037C67}">
  <dimension ref="A1:X18"/>
  <sheetViews>
    <sheetView topLeftCell="A16" workbookViewId="0">
      <selection activeCell="F17" sqref="F17"/>
    </sheetView>
  </sheetViews>
  <sheetFormatPr defaultRowHeight="15"/>
  <cols>
    <col min="1" max="1" width="17.7109375" customWidth="1"/>
    <col min="2" max="2" width="13" customWidth="1"/>
    <col min="4" max="4" width="12.140625" customWidth="1"/>
    <col min="6" max="6" width="19" customWidth="1"/>
    <col min="7" max="8" width="11.7109375" style="147" customWidth="1"/>
    <col min="9" max="9" width="11.140625" customWidth="1"/>
    <col min="10" max="10" width="22.5703125" customWidth="1"/>
    <col min="11" max="11" width="16.42578125" customWidth="1"/>
  </cols>
  <sheetData>
    <row r="1" spans="1:24" ht="47.25" customHeight="1">
      <c r="A1" s="5" t="s">
        <v>0</v>
      </c>
      <c r="B1" s="6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146" t="s">
        <v>954</v>
      </c>
      <c r="H1" s="146" t="s">
        <v>955</v>
      </c>
      <c r="I1" s="7" t="s">
        <v>10</v>
      </c>
      <c r="J1" s="14" t="s">
        <v>12</v>
      </c>
      <c r="K1" s="15" t="s">
        <v>956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154" customFormat="1" ht="103.5" customHeight="1">
      <c r="A2" s="163" t="s">
        <v>13</v>
      </c>
      <c r="B2" s="163" t="s">
        <v>1549</v>
      </c>
      <c r="C2" s="163">
        <v>46</v>
      </c>
      <c r="D2" s="163" t="s">
        <v>1554</v>
      </c>
      <c r="E2" s="163">
        <v>1</v>
      </c>
      <c r="F2" s="163" t="s">
        <v>1553</v>
      </c>
      <c r="G2" s="169">
        <v>1500</v>
      </c>
      <c r="H2" s="169">
        <v>1500</v>
      </c>
      <c r="I2" s="166">
        <v>46036</v>
      </c>
      <c r="J2" s="163" t="s">
        <v>1486</v>
      </c>
      <c r="K2" s="167"/>
    </row>
    <row r="3" spans="1:24" s="154" customFormat="1" ht="89.25" customHeight="1">
      <c r="A3" s="163" t="s">
        <v>13</v>
      </c>
      <c r="B3" s="163" t="s">
        <v>1558</v>
      </c>
      <c r="C3" s="163">
        <v>45</v>
      </c>
      <c r="D3" s="163" t="s">
        <v>1556</v>
      </c>
      <c r="E3" s="163">
        <v>2</v>
      </c>
      <c r="F3" s="163" t="s">
        <v>1557</v>
      </c>
      <c r="G3" s="169">
        <v>980</v>
      </c>
      <c r="H3" s="169">
        <v>2160</v>
      </c>
      <c r="I3" s="166">
        <v>46031</v>
      </c>
      <c r="J3" s="163" t="s">
        <v>1490</v>
      </c>
      <c r="K3" s="167"/>
    </row>
    <row r="4" spans="1:24" s="154" customFormat="1" ht="103.5" customHeight="1">
      <c r="A4" s="163" t="s">
        <v>13</v>
      </c>
      <c r="B4" s="163" t="s">
        <v>1549</v>
      </c>
      <c r="C4" s="163">
        <v>44</v>
      </c>
      <c r="D4" s="163" t="s">
        <v>1555</v>
      </c>
      <c r="E4" s="163">
        <v>1</v>
      </c>
      <c r="F4" s="163" t="s">
        <v>1553</v>
      </c>
      <c r="G4" s="169">
        <v>1500</v>
      </c>
      <c r="H4" s="169">
        <v>1500</v>
      </c>
      <c r="I4" s="166">
        <v>46029</v>
      </c>
      <c r="J4" s="163" t="s">
        <v>1486</v>
      </c>
      <c r="K4" s="167"/>
    </row>
    <row r="5" spans="1:24" s="154" customFormat="1" ht="108" customHeight="1">
      <c r="A5" s="163" t="s">
        <v>13</v>
      </c>
      <c r="B5" s="163"/>
      <c r="C5" s="163">
        <v>33</v>
      </c>
      <c r="D5" s="163" t="s">
        <v>1556</v>
      </c>
      <c r="E5" s="163">
        <v>1</v>
      </c>
      <c r="F5" s="163" t="s">
        <v>1544</v>
      </c>
      <c r="G5" s="169">
        <v>1200</v>
      </c>
      <c r="H5" s="169">
        <v>1200</v>
      </c>
      <c r="I5" s="166">
        <v>46000</v>
      </c>
      <c r="J5" s="163" t="s">
        <v>1484</v>
      </c>
      <c r="K5" s="167"/>
    </row>
    <row r="6" spans="1:24" s="154" customFormat="1" ht="120.75" customHeight="1">
      <c r="A6" s="163" t="s">
        <v>13</v>
      </c>
      <c r="B6" s="163" t="s">
        <v>1402</v>
      </c>
      <c r="C6" s="163">
        <v>34</v>
      </c>
      <c r="D6" s="163" t="s">
        <v>1559</v>
      </c>
      <c r="E6" s="163">
        <v>1</v>
      </c>
      <c r="F6" s="163" t="s">
        <v>1542</v>
      </c>
      <c r="G6" s="169">
        <v>1300</v>
      </c>
      <c r="H6" s="169">
        <v>1300</v>
      </c>
      <c r="I6" s="166">
        <v>46027</v>
      </c>
      <c r="J6" s="163" t="s">
        <v>1484</v>
      </c>
      <c r="K6" s="167"/>
    </row>
    <row r="7" spans="1:24" s="154" customFormat="1" ht="97.5" customHeight="1">
      <c r="A7" s="163" t="s">
        <v>13</v>
      </c>
      <c r="B7" s="163" t="s">
        <v>1402</v>
      </c>
      <c r="C7" s="163">
        <v>35</v>
      </c>
      <c r="D7" s="163" t="s">
        <v>1559</v>
      </c>
      <c r="E7" s="163">
        <v>1</v>
      </c>
      <c r="F7" s="163" t="s">
        <v>1541</v>
      </c>
      <c r="G7" s="169">
        <v>1300</v>
      </c>
      <c r="H7" s="169">
        <v>1300</v>
      </c>
      <c r="I7" s="166">
        <v>46027</v>
      </c>
      <c r="J7" s="163" t="s">
        <v>1484</v>
      </c>
      <c r="K7" s="167"/>
    </row>
    <row r="8" spans="1:24" s="154" customFormat="1" ht="104.25" customHeight="1">
      <c r="A8" s="163" t="s">
        <v>13</v>
      </c>
      <c r="B8" s="163" t="s">
        <v>1491</v>
      </c>
      <c r="C8" s="163">
        <v>36</v>
      </c>
      <c r="D8" s="163" t="s">
        <v>1554</v>
      </c>
      <c r="E8" s="163">
        <v>1</v>
      </c>
      <c r="F8" s="163" t="s">
        <v>1493</v>
      </c>
      <c r="G8" s="169">
        <v>980</v>
      </c>
      <c r="H8" s="169">
        <v>980</v>
      </c>
      <c r="I8" s="166">
        <v>45944</v>
      </c>
      <c r="J8" s="163" t="s">
        <v>1477</v>
      </c>
      <c r="K8" s="167"/>
    </row>
    <row r="9" spans="1:24" s="154" customFormat="1" ht="103.5" customHeight="1">
      <c r="A9" s="163" t="s">
        <v>13</v>
      </c>
      <c r="B9" s="163" t="s">
        <v>1498</v>
      </c>
      <c r="C9" s="163">
        <v>37</v>
      </c>
      <c r="D9" s="163" t="s">
        <v>1560</v>
      </c>
      <c r="E9" s="163">
        <v>1</v>
      </c>
      <c r="F9" s="163" t="s">
        <v>1465</v>
      </c>
      <c r="G9" s="169">
        <v>1300</v>
      </c>
      <c r="H9" s="169">
        <v>1300</v>
      </c>
      <c r="I9" s="166">
        <v>45924</v>
      </c>
      <c r="J9" s="163" t="s">
        <v>1479</v>
      </c>
      <c r="K9" s="167"/>
    </row>
    <row r="10" spans="1:24" s="154" customFormat="1" ht="126" customHeight="1">
      <c r="A10" s="163" t="s">
        <v>13</v>
      </c>
      <c r="B10" s="163" t="s">
        <v>1436</v>
      </c>
      <c r="C10" s="163">
        <v>38</v>
      </c>
      <c r="D10" s="163" t="s">
        <v>1538</v>
      </c>
      <c r="E10" s="163">
        <v>1</v>
      </c>
      <c r="F10" s="163" t="s">
        <v>1543</v>
      </c>
      <c r="G10" s="169">
        <v>1300</v>
      </c>
      <c r="H10" s="169">
        <v>1300</v>
      </c>
      <c r="I10" s="166">
        <v>45971</v>
      </c>
      <c r="J10" s="163" t="s">
        <v>1287</v>
      </c>
      <c r="K10" s="167"/>
    </row>
    <row r="11" spans="1:24" s="154" customFormat="1" ht="109.5" customHeight="1">
      <c r="A11" s="163" t="s">
        <v>13</v>
      </c>
      <c r="B11" s="163" t="s">
        <v>1386</v>
      </c>
      <c r="C11" s="163">
        <v>41</v>
      </c>
      <c r="D11" s="163" t="s">
        <v>1561</v>
      </c>
      <c r="E11" s="163">
        <v>1</v>
      </c>
      <c r="F11" s="163" t="s">
        <v>1412</v>
      </c>
      <c r="G11" s="169">
        <v>1300</v>
      </c>
      <c r="H11" s="169">
        <v>1300</v>
      </c>
      <c r="I11" s="166">
        <v>45903</v>
      </c>
      <c r="J11" s="163" t="s">
        <v>1480</v>
      </c>
      <c r="K11" s="167"/>
    </row>
    <row r="12" spans="1:24" s="154" customFormat="1" ht="104.25" customHeight="1">
      <c r="A12" s="163" t="s">
        <v>13</v>
      </c>
      <c r="B12" s="163" t="s">
        <v>1509</v>
      </c>
      <c r="C12" s="163">
        <v>42</v>
      </c>
      <c r="D12" s="163" t="s">
        <v>1562</v>
      </c>
      <c r="E12" s="163">
        <v>4</v>
      </c>
      <c r="F12" s="163" t="s">
        <v>1450</v>
      </c>
      <c r="G12" s="169">
        <v>1300</v>
      </c>
      <c r="H12" s="169">
        <v>5200</v>
      </c>
      <c r="I12" s="166">
        <v>45894</v>
      </c>
      <c r="J12" s="163" t="s">
        <v>1481</v>
      </c>
      <c r="K12" s="167"/>
    </row>
    <row r="13" spans="1:24" s="154" customFormat="1" ht="118.5" customHeight="1">
      <c r="A13" s="163" t="s">
        <v>13</v>
      </c>
      <c r="B13" s="163" t="s">
        <v>1509</v>
      </c>
      <c r="C13" s="163">
        <v>42</v>
      </c>
      <c r="D13" s="163" t="s">
        <v>1563</v>
      </c>
      <c r="E13" s="163">
        <v>1</v>
      </c>
      <c r="F13" s="163" t="s">
        <v>1411</v>
      </c>
      <c r="G13" s="169">
        <v>1300</v>
      </c>
      <c r="H13" s="169">
        <v>1300</v>
      </c>
      <c r="I13" s="166">
        <v>45890</v>
      </c>
      <c r="J13" s="163" t="s">
        <v>1482</v>
      </c>
      <c r="K13" s="167"/>
    </row>
    <row r="14" spans="1:24" s="154" customFormat="1" ht="118.5" customHeight="1">
      <c r="A14" s="163" t="s">
        <v>13</v>
      </c>
      <c r="B14" s="163" t="s">
        <v>1549</v>
      </c>
      <c r="C14" s="163">
        <v>39</v>
      </c>
      <c r="D14" s="163" t="s">
        <v>1564</v>
      </c>
      <c r="E14" s="163">
        <v>1</v>
      </c>
      <c r="F14" s="163" t="s">
        <v>1367</v>
      </c>
      <c r="G14" s="169">
        <v>1500</v>
      </c>
      <c r="H14" s="169">
        <v>1500</v>
      </c>
      <c r="I14" s="166"/>
      <c r="J14" s="163" t="s">
        <v>1486</v>
      </c>
      <c r="K14" s="167"/>
    </row>
    <row r="15" spans="1:24" s="154" customFormat="1" ht="106.5" customHeight="1">
      <c r="A15" s="163" t="s">
        <v>13</v>
      </c>
      <c r="B15" s="163" t="s">
        <v>1386</v>
      </c>
      <c r="C15" s="163">
        <v>41</v>
      </c>
      <c r="D15" s="163" t="s">
        <v>1556</v>
      </c>
      <c r="E15" s="163">
        <v>1</v>
      </c>
      <c r="F15" s="163" t="s">
        <v>1412</v>
      </c>
      <c r="G15" s="169">
        <v>1300</v>
      </c>
      <c r="H15" s="169">
        <v>1300</v>
      </c>
      <c r="I15" s="166"/>
      <c r="J15" s="163" t="s">
        <v>1489</v>
      </c>
      <c r="K15" s="167"/>
    </row>
    <row r="16" spans="1:24" s="154" customFormat="1" ht="108" customHeight="1">
      <c r="A16" s="163" t="s">
        <v>13</v>
      </c>
      <c r="B16" s="163" t="s">
        <v>1382</v>
      </c>
      <c r="C16" s="163">
        <v>40</v>
      </c>
      <c r="D16" s="163" t="s">
        <v>1565</v>
      </c>
      <c r="E16" s="163">
        <v>1</v>
      </c>
      <c r="F16" s="163" t="s">
        <v>1363</v>
      </c>
      <c r="G16" s="169">
        <v>1300</v>
      </c>
      <c r="H16" s="169">
        <v>1300</v>
      </c>
      <c r="I16" s="166">
        <v>45848</v>
      </c>
      <c r="J16" s="163" t="s">
        <v>1490</v>
      </c>
      <c r="K16" s="167"/>
    </row>
    <row r="17" spans="1:11" s="154" customFormat="1" ht="132" customHeight="1">
      <c r="A17" s="163" t="s">
        <v>13</v>
      </c>
      <c r="B17" s="163" t="s">
        <v>1436</v>
      </c>
      <c r="C17" s="163">
        <v>42</v>
      </c>
      <c r="D17" s="163" t="s">
        <v>1566</v>
      </c>
      <c r="E17" s="163">
        <v>3</v>
      </c>
      <c r="F17" s="163" t="s">
        <v>1411</v>
      </c>
      <c r="G17" s="169">
        <v>1300</v>
      </c>
      <c r="H17" s="169">
        <v>3900</v>
      </c>
      <c r="I17" s="166">
        <v>45839</v>
      </c>
      <c r="J17" s="163" t="s">
        <v>1287</v>
      </c>
      <c r="K17" s="167"/>
    </row>
    <row r="18" spans="1:11">
      <c r="A18" s="1"/>
      <c r="B18" s="1"/>
      <c r="C18" s="1"/>
      <c r="D18" s="1"/>
      <c r="E18" s="1"/>
      <c r="F18" s="1"/>
      <c r="G18" s="94"/>
      <c r="H18" s="170">
        <f>SUM(H2:H17)</f>
        <v>28340</v>
      </c>
      <c r="I18" s="1"/>
      <c r="J18" s="1"/>
      <c r="K18" s="1"/>
    </row>
  </sheetData>
  <autoFilter ref="A1:X18" xr:uid="{685D18D7-A900-427A-8DE8-DACAD82DCE53}"/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598FF-EFA4-4471-8636-27A37D468F28}">
  <sheetPr filterMode="1"/>
  <dimension ref="A1:X19"/>
  <sheetViews>
    <sheetView workbookViewId="0">
      <selection activeCell="E27" sqref="E27"/>
    </sheetView>
  </sheetViews>
  <sheetFormatPr defaultRowHeight="15"/>
  <cols>
    <col min="1" max="1" width="17.7109375" customWidth="1"/>
    <col min="2" max="2" width="13" customWidth="1"/>
    <col min="4" max="4" width="12.140625" customWidth="1"/>
    <col min="6" max="6" width="19" customWidth="1"/>
    <col min="7" max="8" width="11.7109375" style="147" customWidth="1"/>
    <col min="9" max="9" width="11.140625" customWidth="1"/>
    <col min="10" max="10" width="22.5703125" customWidth="1"/>
    <col min="11" max="11" width="16.42578125" customWidth="1"/>
  </cols>
  <sheetData>
    <row r="1" spans="1:24" ht="47.25" customHeight="1">
      <c r="A1" s="5" t="s">
        <v>0</v>
      </c>
      <c r="B1" s="6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146" t="s">
        <v>954</v>
      </c>
      <c r="H1" s="146" t="s">
        <v>955</v>
      </c>
      <c r="I1" s="7" t="s">
        <v>10</v>
      </c>
      <c r="J1" s="14" t="s">
        <v>12</v>
      </c>
      <c r="K1" s="15" t="s">
        <v>956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154" customFormat="1" ht="126" hidden="1" customHeight="1">
      <c r="A2" s="163" t="s">
        <v>13</v>
      </c>
      <c r="B2" s="163" t="s">
        <v>1436</v>
      </c>
      <c r="C2" s="163">
        <v>69</v>
      </c>
      <c r="D2" s="163" t="s">
        <v>1579</v>
      </c>
      <c r="E2" s="163">
        <v>1</v>
      </c>
      <c r="F2" s="163" t="s">
        <v>1578</v>
      </c>
      <c r="G2" s="169">
        <v>1300</v>
      </c>
      <c r="H2" s="169">
        <v>1300</v>
      </c>
      <c r="I2" s="166">
        <v>46037</v>
      </c>
      <c r="J2" s="163" t="s">
        <v>1287</v>
      </c>
      <c r="K2" s="167"/>
    </row>
    <row r="3" spans="1:24" s="154" customFormat="1" ht="103.5" hidden="1" customHeight="1">
      <c r="A3" s="163" t="s">
        <v>13</v>
      </c>
      <c r="B3" s="163" t="s">
        <v>1549</v>
      </c>
      <c r="C3" s="163">
        <v>70</v>
      </c>
      <c r="D3" s="163" t="s">
        <v>1567</v>
      </c>
      <c r="E3" s="163">
        <v>1</v>
      </c>
      <c r="F3" s="163" t="s">
        <v>1553</v>
      </c>
      <c r="G3" s="169">
        <v>1500</v>
      </c>
      <c r="H3" s="169">
        <v>1500</v>
      </c>
      <c r="I3" s="166">
        <v>46036</v>
      </c>
      <c r="J3" s="163" t="s">
        <v>1486</v>
      </c>
      <c r="K3" s="167"/>
    </row>
    <row r="4" spans="1:24" s="154" customFormat="1" ht="89.25" hidden="1" customHeight="1">
      <c r="A4" s="163" t="s">
        <v>13</v>
      </c>
      <c r="B4" s="163" t="s">
        <v>1382</v>
      </c>
      <c r="C4" s="163">
        <v>72</v>
      </c>
      <c r="D4" s="163" t="s">
        <v>1568</v>
      </c>
      <c r="E4" s="163">
        <v>2</v>
      </c>
      <c r="F4" s="163" t="s">
        <v>1557</v>
      </c>
      <c r="G4" s="169">
        <v>980</v>
      </c>
      <c r="H4" s="169">
        <v>1960</v>
      </c>
      <c r="I4" s="166">
        <v>46031</v>
      </c>
      <c r="J4" s="163" t="s">
        <v>1490</v>
      </c>
      <c r="K4" s="167"/>
    </row>
    <row r="5" spans="1:24" s="154" customFormat="1" ht="103.5" hidden="1" customHeight="1">
      <c r="A5" s="163" t="s">
        <v>13</v>
      </c>
      <c r="B5" s="163" t="s">
        <v>1549</v>
      </c>
      <c r="C5" s="163">
        <v>70</v>
      </c>
      <c r="D5" s="163" t="s">
        <v>1569</v>
      </c>
      <c r="E5" s="163">
        <v>1</v>
      </c>
      <c r="F5" s="163" t="s">
        <v>1553</v>
      </c>
      <c r="G5" s="169">
        <v>1500</v>
      </c>
      <c r="H5" s="169">
        <v>1500</v>
      </c>
      <c r="I5" s="166">
        <v>46029</v>
      </c>
      <c r="J5" s="163" t="s">
        <v>1486</v>
      </c>
      <c r="K5" s="167"/>
    </row>
    <row r="6" spans="1:24" s="154" customFormat="1" ht="108" hidden="1" customHeight="1">
      <c r="A6" s="163" t="s">
        <v>13</v>
      </c>
      <c r="B6" s="163"/>
      <c r="C6" s="163">
        <v>75</v>
      </c>
      <c r="D6" s="163" t="s">
        <v>1568</v>
      </c>
      <c r="E6" s="163">
        <v>1</v>
      </c>
      <c r="F6" s="163" t="s">
        <v>1544</v>
      </c>
      <c r="G6" s="169">
        <v>1200</v>
      </c>
      <c r="H6" s="169">
        <v>1200</v>
      </c>
      <c r="I6" s="166">
        <v>46000</v>
      </c>
      <c r="J6" s="163" t="s">
        <v>1484</v>
      </c>
      <c r="K6" s="167"/>
    </row>
    <row r="7" spans="1:24" s="154" customFormat="1" ht="120.75" customHeight="1">
      <c r="A7" s="163" t="s">
        <v>13</v>
      </c>
      <c r="B7" s="163" t="s">
        <v>1402</v>
      </c>
      <c r="C7" s="163">
        <v>74</v>
      </c>
      <c r="D7" s="163" t="s">
        <v>1570</v>
      </c>
      <c r="E7" s="163">
        <v>1</v>
      </c>
      <c r="F7" s="163" t="s">
        <v>1542</v>
      </c>
      <c r="G7" s="169">
        <v>1300</v>
      </c>
      <c r="H7" s="169">
        <v>1300</v>
      </c>
      <c r="I7" s="166">
        <v>46027</v>
      </c>
      <c r="J7" s="163" t="s">
        <v>1484</v>
      </c>
      <c r="K7" s="167"/>
    </row>
    <row r="8" spans="1:24" s="154" customFormat="1" ht="97.5" customHeight="1">
      <c r="A8" s="163" t="s">
        <v>13</v>
      </c>
      <c r="B8" s="163" t="s">
        <v>1402</v>
      </c>
      <c r="C8" s="163">
        <v>73</v>
      </c>
      <c r="D8" s="163" t="s">
        <v>1570</v>
      </c>
      <c r="E8" s="163">
        <v>1</v>
      </c>
      <c r="F8" s="163" t="s">
        <v>1541</v>
      </c>
      <c r="G8" s="169">
        <v>1300</v>
      </c>
      <c r="H8" s="169">
        <v>1300</v>
      </c>
      <c r="I8" s="166">
        <v>46027</v>
      </c>
      <c r="J8" s="163" t="s">
        <v>1484</v>
      </c>
      <c r="K8" s="167"/>
    </row>
    <row r="9" spans="1:24" s="154" customFormat="1" ht="104.25" customHeight="1">
      <c r="A9" s="163" t="s">
        <v>13</v>
      </c>
      <c r="B9" s="163" t="s">
        <v>1599</v>
      </c>
      <c r="C9" s="163">
        <v>76</v>
      </c>
      <c r="D9" s="163" t="s">
        <v>1567</v>
      </c>
      <c r="E9" s="163">
        <v>1</v>
      </c>
      <c r="F9" s="163" t="s">
        <v>1493</v>
      </c>
      <c r="G9" s="169">
        <v>980</v>
      </c>
      <c r="H9" s="169">
        <v>980</v>
      </c>
      <c r="I9" s="166">
        <v>45944</v>
      </c>
      <c r="J9" s="163" t="s">
        <v>1477</v>
      </c>
      <c r="K9" s="167"/>
    </row>
    <row r="10" spans="1:24" s="154" customFormat="1" ht="103.5" hidden="1" customHeight="1">
      <c r="A10" s="163" t="s">
        <v>13</v>
      </c>
      <c r="B10" s="163" t="s">
        <v>1580</v>
      </c>
      <c r="C10" s="163">
        <v>77</v>
      </c>
      <c r="D10" s="163" t="s">
        <v>1571</v>
      </c>
      <c r="E10" s="163">
        <v>1</v>
      </c>
      <c r="F10" s="163" t="s">
        <v>1465</v>
      </c>
      <c r="G10" s="169">
        <v>1300</v>
      </c>
      <c r="H10" s="169">
        <v>1300</v>
      </c>
      <c r="I10" s="166">
        <v>45924</v>
      </c>
      <c r="J10" s="163" t="s">
        <v>1479</v>
      </c>
      <c r="K10" s="167"/>
    </row>
    <row r="11" spans="1:24" s="154" customFormat="1" ht="126" hidden="1" customHeight="1">
      <c r="A11" s="163" t="s">
        <v>13</v>
      </c>
      <c r="B11" s="163" t="s">
        <v>1436</v>
      </c>
      <c r="C11" s="163">
        <v>69</v>
      </c>
      <c r="D11" s="163" t="s">
        <v>1565</v>
      </c>
      <c r="E11" s="163">
        <v>1</v>
      </c>
      <c r="F11" s="163" t="s">
        <v>1543</v>
      </c>
      <c r="G11" s="169">
        <v>1300</v>
      </c>
      <c r="H11" s="169">
        <v>1300</v>
      </c>
      <c r="I11" s="166">
        <v>45971</v>
      </c>
      <c r="J11" s="163" t="s">
        <v>1287</v>
      </c>
      <c r="K11" s="167"/>
    </row>
    <row r="12" spans="1:24" s="154" customFormat="1" ht="109.5" hidden="1" customHeight="1">
      <c r="A12" s="163" t="s">
        <v>13</v>
      </c>
      <c r="B12" s="163" t="s">
        <v>1386</v>
      </c>
      <c r="C12" s="163">
        <v>68</v>
      </c>
      <c r="D12" s="163" t="s">
        <v>1572</v>
      </c>
      <c r="E12" s="163">
        <v>1</v>
      </c>
      <c r="F12" s="163" t="s">
        <v>1412</v>
      </c>
      <c r="G12" s="169">
        <v>1300</v>
      </c>
      <c r="H12" s="169">
        <v>1300</v>
      </c>
      <c r="I12" s="166">
        <v>45903</v>
      </c>
      <c r="J12" s="163" t="s">
        <v>1480</v>
      </c>
      <c r="K12" s="167"/>
    </row>
    <row r="13" spans="1:24" s="154" customFormat="1" ht="104.25" hidden="1" customHeight="1">
      <c r="A13" s="163" t="s">
        <v>13</v>
      </c>
      <c r="B13" s="163" t="s">
        <v>1509</v>
      </c>
      <c r="C13" s="163">
        <v>67</v>
      </c>
      <c r="D13" s="163" t="s">
        <v>1573</v>
      </c>
      <c r="E13" s="163">
        <v>4</v>
      </c>
      <c r="F13" s="163" t="s">
        <v>1450</v>
      </c>
      <c r="G13" s="169">
        <v>1300</v>
      </c>
      <c r="H13" s="169">
        <v>5200</v>
      </c>
      <c r="I13" s="166">
        <v>45894</v>
      </c>
      <c r="J13" s="163" t="s">
        <v>1481</v>
      </c>
      <c r="K13" s="167"/>
    </row>
    <row r="14" spans="1:24" s="154" customFormat="1" ht="118.5" hidden="1" customHeight="1">
      <c r="A14" s="163" t="s">
        <v>13</v>
      </c>
      <c r="B14" s="163" t="s">
        <v>1509</v>
      </c>
      <c r="C14" s="163">
        <v>67</v>
      </c>
      <c r="D14" s="163" t="s">
        <v>1574</v>
      </c>
      <c r="E14" s="163">
        <v>1</v>
      </c>
      <c r="F14" s="163" t="s">
        <v>1411</v>
      </c>
      <c r="G14" s="169">
        <v>1300</v>
      </c>
      <c r="H14" s="169">
        <v>1300</v>
      </c>
      <c r="I14" s="166">
        <v>45890</v>
      </c>
      <c r="J14" s="163" t="s">
        <v>1482</v>
      </c>
      <c r="K14" s="167"/>
    </row>
    <row r="15" spans="1:24" s="154" customFormat="1" ht="118.5" hidden="1" customHeight="1">
      <c r="A15" s="163" t="s">
        <v>13</v>
      </c>
      <c r="B15" s="163" t="s">
        <v>1549</v>
      </c>
      <c r="C15" s="163">
        <v>70</v>
      </c>
      <c r="D15" s="163" t="s">
        <v>1575</v>
      </c>
      <c r="E15" s="163">
        <v>1</v>
      </c>
      <c r="F15" s="163" t="s">
        <v>1367</v>
      </c>
      <c r="G15" s="169">
        <v>1500</v>
      </c>
      <c r="H15" s="169">
        <v>1500</v>
      </c>
      <c r="I15" s="166"/>
      <c r="J15" s="163" t="s">
        <v>1486</v>
      </c>
      <c r="K15" s="167"/>
    </row>
    <row r="16" spans="1:24" s="154" customFormat="1" ht="106.5" hidden="1" customHeight="1">
      <c r="A16" s="163" t="s">
        <v>13</v>
      </c>
      <c r="B16" s="163" t="s">
        <v>1386</v>
      </c>
      <c r="C16" s="163">
        <v>68</v>
      </c>
      <c r="D16" s="163" t="s">
        <v>1568</v>
      </c>
      <c r="E16" s="163">
        <v>1</v>
      </c>
      <c r="F16" s="163" t="s">
        <v>1412</v>
      </c>
      <c r="G16" s="169">
        <v>1300</v>
      </c>
      <c r="H16" s="169">
        <v>1300</v>
      </c>
      <c r="I16" s="166"/>
      <c r="J16" s="163" t="s">
        <v>1489</v>
      </c>
      <c r="K16" s="167"/>
    </row>
    <row r="17" spans="1:11" s="154" customFormat="1" ht="108" hidden="1" customHeight="1">
      <c r="A17" s="163" t="s">
        <v>13</v>
      </c>
      <c r="B17" s="163" t="s">
        <v>1382</v>
      </c>
      <c r="C17" s="163">
        <v>71</v>
      </c>
      <c r="D17" s="163" t="s">
        <v>1576</v>
      </c>
      <c r="E17" s="163">
        <v>1</v>
      </c>
      <c r="F17" s="163" t="s">
        <v>1363</v>
      </c>
      <c r="G17" s="169">
        <v>1300</v>
      </c>
      <c r="H17" s="169">
        <v>1300</v>
      </c>
      <c r="I17" s="166">
        <v>45848</v>
      </c>
      <c r="J17" s="163" t="s">
        <v>1490</v>
      </c>
      <c r="K17" s="167"/>
    </row>
    <row r="18" spans="1:11" s="154" customFormat="1" ht="132" hidden="1" customHeight="1">
      <c r="A18" s="163" t="s">
        <v>13</v>
      </c>
      <c r="B18" s="163" t="s">
        <v>1436</v>
      </c>
      <c r="C18" s="163">
        <v>67</v>
      </c>
      <c r="D18" s="163" t="s">
        <v>1577</v>
      </c>
      <c r="E18" s="163">
        <v>3</v>
      </c>
      <c r="F18" s="163" t="s">
        <v>1411</v>
      </c>
      <c r="G18" s="169">
        <v>1300</v>
      </c>
      <c r="H18" s="169">
        <v>3900</v>
      </c>
      <c r="I18" s="166">
        <v>45839</v>
      </c>
      <c r="J18" s="163" t="s">
        <v>1287</v>
      </c>
      <c r="K18" s="167"/>
    </row>
    <row r="19" spans="1:11" hidden="1">
      <c r="A19" s="1"/>
      <c r="B19" s="1"/>
      <c r="C19" s="1"/>
      <c r="D19" s="1"/>
      <c r="E19" s="1"/>
      <c r="F19" s="1"/>
      <c r="G19" s="94"/>
      <c r="H19" s="170">
        <f>SUM(H2:H18)</f>
        <v>29440</v>
      </c>
      <c r="I19" s="1"/>
      <c r="J19" s="1"/>
      <c r="K19" s="1"/>
    </row>
  </sheetData>
  <autoFilter ref="A1:X19" xr:uid="{685D18D7-A900-427A-8DE8-DACAD82DCE53}">
    <filterColumn colId="1">
      <filters>
        <filter val="ENCARREGADO IGOR MONTE VERDE"/>
        <filter val="ENCARREGADO MONTE VERDE RAFAEL"/>
      </filters>
    </filterColumn>
  </autoFilter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FC7F1-6FD7-4A91-8DEC-3115C5A988A8}">
  <sheetPr filterMode="1"/>
  <dimension ref="A1:X20"/>
  <sheetViews>
    <sheetView workbookViewId="0">
      <selection activeCell="B16" sqref="B16"/>
    </sheetView>
  </sheetViews>
  <sheetFormatPr defaultRowHeight="15"/>
  <cols>
    <col min="1" max="1" width="17.7109375" customWidth="1"/>
    <col min="2" max="2" width="13" customWidth="1"/>
    <col min="3" max="3" width="4.42578125" customWidth="1"/>
    <col min="4" max="4" width="12.140625" customWidth="1"/>
    <col min="5" max="5" width="5.28515625" customWidth="1"/>
    <col min="6" max="6" width="19" customWidth="1"/>
    <col min="7" max="7" width="10.42578125" style="147" customWidth="1"/>
    <col min="8" max="8" width="11.42578125" style="147" customWidth="1"/>
    <col min="9" max="9" width="11.140625" customWidth="1"/>
    <col min="10" max="10" width="22.5703125" customWidth="1"/>
    <col min="11" max="11" width="16.42578125" customWidth="1"/>
  </cols>
  <sheetData>
    <row r="1" spans="1:24" ht="47.25" customHeight="1">
      <c r="A1" s="5" t="s">
        <v>0</v>
      </c>
      <c r="B1" s="6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146" t="s">
        <v>954</v>
      </c>
      <c r="H1" s="146" t="s">
        <v>955</v>
      </c>
      <c r="I1" s="7" t="s">
        <v>10</v>
      </c>
      <c r="J1" s="14" t="s">
        <v>12</v>
      </c>
      <c r="K1" s="15" t="s">
        <v>956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154" customFormat="1" ht="138.75" hidden="1" customHeight="1">
      <c r="A2" s="163" t="s">
        <v>13</v>
      </c>
      <c r="B2" s="163" t="s">
        <v>1436</v>
      </c>
      <c r="C2" s="163">
        <v>95</v>
      </c>
      <c r="D2" s="163" t="s">
        <v>1594</v>
      </c>
      <c r="E2" s="163">
        <v>1</v>
      </c>
      <c r="F2" s="163" t="s">
        <v>1595</v>
      </c>
      <c r="G2" s="169">
        <v>1400</v>
      </c>
      <c r="H2" s="169">
        <v>1400</v>
      </c>
      <c r="I2" s="166">
        <v>46114</v>
      </c>
      <c r="J2" s="163" t="s">
        <v>1287</v>
      </c>
      <c r="K2" s="167"/>
    </row>
    <row r="3" spans="1:24" s="154" customFormat="1" ht="126" hidden="1" customHeight="1">
      <c r="A3" s="163" t="s">
        <v>13</v>
      </c>
      <c r="B3" s="163" t="s">
        <v>1402</v>
      </c>
      <c r="C3" s="163">
        <v>98</v>
      </c>
      <c r="D3" s="163" t="s">
        <v>1592</v>
      </c>
      <c r="E3" s="163">
        <v>1</v>
      </c>
      <c r="F3" s="163" t="s">
        <v>1593</v>
      </c>
      <c r="G3" s="169">
        <v>980</v>
      </c>
      <c r="H3" s="169">
        <v>980</v>
      </c>
      <c r="I3" s="166">
        <v>46076</v>
      </c>
      <c r="J3" s="163" t="s">
        <v>1287</v>
      </c>
      <c r="K3" s="167"/>
    </row>
    <row r="4" spans="1:24" s="154" customFormat="1" ht="126" hidden="1" customHeight="1">
      <c r="A4" s="163" t="s">
        <v>13</v>
      </c>
      <c r="B4" s="163" t="s">
        <v>1597</v>
      </c>
      <c r="C4" s="163">
        <v>99</v>
      </c>
      <c r="D4" s="163" t="s">
        <v>1596</v>
      </c>
      <c r="E4" s="163">
        <v>1</v>
      </c>
      <c r="F4" s="163" t="s">
        <v>1598</v>
      </c>
      <c r="G4" s="169">
        <v>1300</v>
      </c>
      <c r="H4" s="169">
        <v>1500</v>
      </c>
      <c r="I4" s="166">
        <v>46111</v>
      </c>
      <c r="J4" s="163" t="s">
        <v>1287</v>
      </c>
      <c r="K4" s="167"/>
    </row>
    <row r="5" spans="1:24" s="154" customFormat="1" ht="126" hidden="1" customHeight="1">
      <c r="A5" s="163" t="s">
        <v>13</v>
      </c>
      <c r="B5" s="163" t="s">
        <v>1436</v>
      </c>
      <c r="C5" s="163">
        <v>94</v>
      </c>
      <c r="D5" s="163" t="s">
        <v>1581</v>
      </c>
      <c r="E5" s="163">
        <v>1</v>
      </c>
      <c r="F5" s="163" t="s">
        <v>1578</v>
      </c>
      <c r="G5" s="169">
        <v>1300</v>
      </c>
      <c r="H5" s="169">
        <v>1300</v>
      </c>
      <c r="I5" s="166">
        <v>46037</v>
      </c>
      <c r="J5" s="163" t="s">
        <v>1287</v>
      </c>
      <c r="K5" s="167"/>
    </row>
    <row r="6" spans="1:24" s="154" customFormat="1" ht="103.5" customHeight="1">
      <c r="A6" s="163" t="s">
        <v>13</v>
      </c>
      <c r="B6" s="163" t="s">
        <v>1603</v>
      </c>
      <c r="C6" s="163">
        <v>100</v>
      </c>
      <c r="D6" s="163" t="s">
        <v>1582</v>
      </c>
      <c r="E6" s="163">
        <v>1</v>
      </c>
      <c r="F6" s="163" t="s">
        <v>1553</v>
      </c>
      <c r="G6" s="169">
        <v>1500</v>
      </c>
      <c r="H6" s="169">
        <v>1500</v>
      </c>
      <c r="I6" s="166">
        <v>46036</v>
      </c>
      <c r="J6" s="163" t="s">
        <v>1486</v>
      </c>
      <c r="K6" s="167"/>
    </row>
    <row r="7" spans="1:24" s="154" customFormat="1" ht="89.25" customHeight="1">
      <c r="A7" s="163" t="s">
        <v>13</v>
      </c>
      <c r="B7" s="163" t="s">
        <v>1382</v>
      </c>
      <c r="C7" s="163">
        <v>101</v>
      </c>
      <c r="D7" s="163" t="s">
        <v>1583</v>
      </c>
      <c r="E7" s="163">
        <v>2</v>
      </c>
      <c r="F7" s="163" t="s">
        <v>1557</v>
      </c>
      <c r="G7" s="169">
        <v>980</v>
      </c>
      <c r="H7" s="169">
        <v>1960</v>
      </c>
      <c r="I7" s="166">
        <v>46031</v>
      </c>
      <c r="J7" s="163" t="s">
        <v>1490</v>
      </c>
      <c r="K7" s="167"/>
    </row>
    <row r="8" spans="1:24" s="154" customFormat="1" ht="103.5" customHeight="1">
      <c r="A8" s="163" t="s">
        <v>13</v>
      </c>
      <c r="B8" s="163" t="s">
        <v>1604</v>
      </c>
      <c r="C8" s="163">
        <v>100</v>
      </c>
      <c r="D8" s="163" t="s">
        <v>1584</v>
      </c>
      <c r="E8" s="163">
        <v>1</v>
      </c>
      <c r="F8" s="163" t="s">
        <v>1553</v>
      </c>
      <c r="G8" s="169">
        <v>1500</v>
      </c>
      <c r="H8" s="169">
        <v>1500</v>
      </c>
      <c r="I8" s="166">
        <v>46029</v>
      </c>
      <c r="J8" s="163" t="s">
        <v>1486</v>
      </c>
      <c r="K8" s="167"/>
    </row>
    <row r="9" spans="1:24" s="154" customFormat="1" ht="108" hidden="1" customHeight="1">
      <c r="A9" s="163" t="s">
        <v>13</v>
      </c>
      <c r="B9" s="163"/>
      <c r="C9" s="163">
        <v>103</v>
      </c>
      <c r="D9" s="163" t="s">
        <v>1583</v>
      </c>
      <c r="E9" s="163">
        <v>1</v>
      </c>
      <c r="F9" s="163" t="s">
        <v>1544</v>
      </c>
      <c r="G9" s="169">
        <v>1200</v>
      </c>
      <c r="H9" s="169">
        <v>1200</v>
      </c>
      <c r="I9" s="166">
        <v>46000</v>
      </c>
      <c r="J9" s="163" t="s">
        <v>1484</v>
      </c>
      <c r="K9" s="167"/>
    </row>
    <row r="10" spans="1:24" s="154" customFormat="1" ht="120.75" hidden="1" customHeight="1">
      <c r="A10" s="163" t="s">
        <v>13</v>
      </c>
      <c r="B10" s="163" t="s">
        <v>1402</v>
      </c>
      <c r="C10" s="163">
        <v>96</v>
      </c>
      <c r="D10" s="163" t="s">
        <v>1585</v>
      </c>
      <c r="E10" s="163">
        <v>1</v>
      </c>
      <c r="F10" s="163" t="s">
        <v>1542</v>
      </c>
      <c r="G10" s="169">
        <v>1300</v>
      </c>
      <c r="H10" s="169">
        <v>1300</v>
      </c>
      <c r="I10" s="166">
        <v>46027</v>
      </c>
      <c r="J10" s="163" t="s">
        <v>1484</v>
      </c>
      <c r="K10" s="167"/>
    </row>
    <row r="11" spans="1:24" s="154" customFormat="1" ht="97.5" hidden="1" customHeight="1">
      <c r="A11" s="163" t="s">
        <v>13</v>
      </c>
      <c r="B11" s="163" t="s">
        <v>1402</v>
      </c>
      <c r="C11" s="163">
        <v>97</v>
      </c>
      <c r="D11" s="163" t="s">
        <v>1585</v>
      </c>
      <c r="E11" s="163">
        <v>1</v>
      </c>
      <c r="F11" s="163" t="s">
        <v>1541</v>
      </c>
      <c r="G11" s="169">
        <v>1300</v>
      </c>
      <c r="H11" s="169">
        <v>1300</v>
      </c>
      <c r="I11" s="166">
        <v>46027</v>
      </c>
      <c r="J11" s="163" t="s">
        <v>1484</v>
      </c>
      <c r="K11" s="167"/>
    </row>
    <row r="12" spans="1:24" s="154" customFormat="1" ht="126" hidden="1" customHeight="1">
      <c r="A12" s="163" t="s">
        <v>13</v>
      </c>
      <c r="B12" s="163" t="s">
        <v>1436</v>
      </c>
      <c r="C12" s="163">
        <v>94</v>
      </c>
      <c r="D12" s="163" t="s">
        <v>1576</v>
      </c>
      <c r="E12" s="163">
        <v>1</v>
      </c>
      <c r="F12" s="163" t="s">
        <v>1543</v>
      </c>
      <c r="G12" s="169">
        <v>1300</v>
      </c>
      <c r="H12" s="169">
        <v>1300</v>
      </c>
      <c r="I12" s="166">
        <v>45971</v>
      </c>
      <c r="J12" s="163" t="s">
        <v>1287</v>
      </c>
      <c r="K12" s="167"/>
    </row>
    <row r="13" spans="1:24" s="154" customFormat="1" ht="109.5" hidden="1" customHeight="1">
      <c r="A13" s="163" t="s">
        <v>13</v>
      </c>
      <c r="B13" s="163" t="s">
        <v>1386</v>
      </c>
      <c r="C13" s="163">
        <v>93</v>
      </c>
      <c r="D13" s="163" t="s">
        <v>1586</v>
      </c>
      <c r="E13" s="163">
        <v>1</v>
      </c>
      <c r="F13" s="163" t="s">
        <v>1412</v>
      </c>
      <c r="G13" s="169">
        <v>1300</v>
      </c>
      <c r="H13" s="169">
        <v>1300</v>
      </c>
      <c r="I13" s="166">
        <v>45903</v>
      </c>
      <c r="J13" s="163" t="s">
        <v>1480</v>
      </c>
      <c r="K13" s="167"/>
    </row>
    <row r="14" spans="1:24" s="154" customFormat="1" ht="104.25" hidden="1" customHeight="1">
      <c r="A14" s="163" t="s">
        <v>13</v>
      </c>
      <c r="B14" s="163" t="s">
        <v>1509</v>
      </c>
      <c r="C14" s="163">
        <v>92</v>
      </c>
      <c r="D14" s="163" t="s">
        <v>1587</v>
      </c>
      <c r="E14" s="163">
        <v>4</v>
      </c>
      <c r="F14" s="163" t="s">
        <v>1450</v>
      </c>
      <c r="G14" s="169">
        <v>1300</v>
      </c>
      <c r="H14" s="169">
        <v>5200</v>
      </c>
      <c r="I14" s="166">
        <v>45894</v>
      </c>
      <c r="J14" s="163" t="s">
        <v>1481</v>
      </c>
      <c r="K14" s="167"/>
    </row>
    <row r="15" spans="1:24" s="154" customFormat="1" ht="118.5" hidden="1" customHeight="1">
      <c r="A15" s="163" t="s">
        <v>13</v>
      </c>
      <c r="B15" s="163" t="s">
        <v>1509</v>
      </c>
      <c r="C15" s="163">
        <v>92</v>
      </c>
      <c r="D15" s="163" t="s">
        <v>1588</v>
      </c>
      <c r="E15" s="163">
        <v>1</v>
      </c>
      <c r="F15" s="163" t="s">
        <v>1411</v>
      </c>
      <c r="G15" s="169">
        <v>1300</v>
      </c>
      <c r="H15" s="169">
        <v>1300</v>
      </c>
      <c r="I15" s="166">
        <v>45890</v>
      </c>
      <c r="J15" s="163" t="s">
        <v>1482</v>
      </c>
      <c r="K15" s="167"/>
    </row>
    <row r="16" spans="1:24" s="154" customFormat="1" ht="118.5" customHeight="1">
      <c r="A16" s="163" t="s">
        <v>13</v>
      </c>
      <c r="B16" s="163" t="s">
        <v>1549</v>
      </c>
      <c r="C16" s="163">
        <v>100</v>
      </c>
      <c r="D16" s="163" t="s">
        <v>1589</v>
      </c>
      <c r="E16" s="163">
        <v>1</v>
      </c>
      <c r="F16" s="163" t="s">
        <v>1367</v>
      </c>
      <c r="G16" s="169">
        <v>1500</v>
      </c>
      <c r="H16" s="169">
        <v>1500</v>
      </c>
      <c r="I16" s="166"/>
      <c r="J16" s="163" t="s">
        <v>1486</v>
      </c>
      <c r="K16" s="167"/>
    </row>
    <row r="17" spans="1:11" s="154" customFormat="1" ht="106.5" hidden="1" customHeight="1">
      <c r="A17" s="163" t="s">
        <v>13</v>
      </c>
      <c r="B17" s="163" t="s">
        <v>1386</v>
      </c>
      <c r="C17" s="163">
        <v>93</v>
      </c>
      <c r="D17" s="163" t="s">
        <v>1583</v>
      </c>
      <c r="E17" s="163">
        <v>1</v>
      </c>
      <c r="F17" s="163" t="s">
        <v>1412</v>
      </c>
      <c r="G17" s="169">
        <v>1300</v>
      </c>
      <c r="H17" s="169">
        <v>1300</v>
      </c>
      <c r="I17" s="166"/>
      <c r="J17" s="163" t="s">
        <v>1489</v>
      </c>
      <c r="K17" s="167"/>
    </row>
    <row r="18" spans="1:11" s="154" customFormat="1" ht="108" customHeight="1">
      <c r="A18" s="163" t="s">
        <v>13</v>
      </c>
      <c r="B18" s="163" t="s">
        <v>1382</v>
      </c>
      <c r="C18" s="163">
        <v>102</v>
      </c>
      <c r="D18" s="163" t="s">
        <v>1590</v>
      </c>
      <c r="E18" s="163">
        <v>1</v>
      </c>
      <c r="F18" s="163" t="s">
        <v>1363</v>
      </c>
      <c r="G18" s="169">
        <v>1300</v>
      </c>
      <c r="H18" s="169">
        <v>1300</v>
      </c>
      <c r="I18" s="166">
        <v>45848</v>
      </c>
      <c r="J18" s="163" t="s">
        <v>1490</v>
      </c>
      <c r="K18" s="167"/>
    </row>
    <row r="19" spans="1:11" s="154" customFormat="1" ht="132" hidden="1" customHeight="1">
      <c r="A19" s="163" t="s">
        <v>13</v>
      </c>
      <c r="B19" s="163" t="s">
        <v>1436</v>
      </c>
      <c r="C19" s="163">
        <v>92</v>
      </c>
      <c r="D19" s="163" t="s">
        <v>1591</v>
      </c>
      <c r="E19" s="163">
        <v>3</v>
      </c>
      <c r="F19" s="163" t="s">
        <v>1411</v>
      </c>
      <c r="G19" s="169">
        <v>1300</v>
      </c>
      <c r="H19" s="169">
        <v>3900</v>
      </c>
      <c r="I19" s="166">
        <v>45839</v>
      </c>
      <c r="J19" s="163" t="s">
        <v>1287</v>
      </c>
      <c r="K19" s="167"/>
    </row>
    <row r="20" spans="1:11" hidden="1">
      <c r="A20" s="1"/>
      <c r="B20" s="1"/>
      <c r="C20" s="1"/>
      <c r="D20" s="1"/>
      <c r="E20" s="1"/>
      <c r="F20" s="1"/>
      <c r="G20" s="94"/>
      <c r="H20" s="170">
        <f>SUM(H2:H19)</f>
        <v>31040</v>
      </c>
      <c r="I20" s="1"/>
      <c r="J20" s="1"/>
      <c r="K20" s="1"/>
    </row>
  </sheetData>
  <autoFilter ref="A1:X20" xr:uid="{685D18D7-A900-427A-8DE8-DACAD82DCE53}">
    <filterColumn colId="1">
      <filters>
        <filter val="ENCARREGADO YURE"/>
        <filter val="RECOLHIDO 15/04  ENCARREGADO YURE"/>
        <filter val="RECOLHIDO 15/04 ENCARREGADO YURE"/>
      </filters>
    </filterColumn>
  </autoFilter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EFF29-5E5E-48F6-81B8-7036E2B0B8DC}">
  <dimension ref="A1:X20"/>
  <sheetViews>
    <sheetView workbookViewId="0">
      <selection activeCell="L24" sqref="L24"/>
    </sheetView>
  </sheetViews>
  <sheetFormatPr defaultRowHeight="15"/>
  <cols>
    <col min="1" max="1" width="17.7109375" customWidth="1"/>
    <col min="2" max="2" width="13" customWidth="1"/>
    <col min="3" max="3" width="4.42578125" style="154" customWidth="1"/>
    <col min="4" max="4" width="12.140625" customWidth="1"/>
    <col min="5" max="5" width="5.28515625" customWidth="1"/>
    <col min="6" max="6" width="19" customWidth="1"/>
    <col min="7" max="7" width="10.42578125" style="147" customWidth="1"/>
    <col min="8" max="8" width="11.42578125" style="147" customWidth="1"/>
    <col min="9" max="9" width="11.140625" customWidth="1"/>
    <col min="10" max="10" width="22.5703125" customWidth="1"/>
    <col min="11" max="11" width="16.42578125" customWidth="1"/>
  </cols>
  <sheetData>
    <row r="1" spans="1:24" ht="47.25" customHeight="1">
      <c r="A1" s="5" t="s">
        <v>0</v>
      </c>
      <c r="B1" s="6" t="s">
        <v>1</v>
      </c>
      <c r="C1" s="171" t="s">
        <v>2</v>
      </c>
      <c r="D1" s="7" t="s">
        <v>3</v>
      </c>
      <c r="E1" s="7" t="s">
        <v>4</v>
      </c>
      <c r="F1" s="7" t="s">
        <v>5</v>
      </c>
      <c r="G1" s="146" t="s">
        <v>954</v>
      </c>
      <c r="H1" s="146" t="s">
        <v>955</v>
      </c>
      <c r="I1" s="7" t="s">
        <v>10</v>
      </c>
      <c r="J1" s="14" t="s">
        <v>12</v>
      </c>
      <c r="K1" s="15" t="s">
        <v>956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154" customFormat="1" ht="138.75" customHeight="1">
      <c r="A2" s="163" t="s">
        <v>13</v>
      </c>
      <c r="B2" s="163" t="s">
        <v>1602</v>
      </c>
      <c r="C2" s="163">
        <v>125</v>
      </c>
      <c r="D2" s="163" t="s">
        <v>1601</v>
      </c>
      <c r="E2" s="163">
        <v>1</v>
      </c>
      <c r="F2" s="163" t="s">
        <v>1600</v>
      </c>
      <c r="G2" s="169">
        <v>1400</v>
      </c>
      <c r="H2" s="169">
        <v>1400</v>
      </c>
      <c r="I2" s="166">
        <v>46118</v>
      </c>
      <c r="J2" s="163" t="s">
        <v>1287</v>
      </c>
      <c r="K2" s="167"/>
    </row>
    <row r="3" spans="1:24" s="154" customFormat="1" ht="138.75" customHeight="1">
      <c r="A3" s="163" t="s">
        <v>13</v>
      </c>
      <c r="B3" s="163" t="s">
        <v>1436</v>
      </c>
      <c r="C3" s="163">
        <v>116</v>
      </c>
      <c r="D3" s="163" t="s">
        <v>1605</v>
      </c>
      <c r="E3" s="163">
        <v>1</v>
      </c>
      <c r="F3" s="163" t="s">
        <v>1595</v>
      </c>
      <c r="G3" s="169">
        <v>1400</v>
      </c>
      <c r="H3" s="169">
        <v>1400</v>
      </c>
      <c r="I3" s="166">
        <v>46114</v>
      </c>
      <c r="J3" s="163" t="s">
        <v>1287</v>
      </c>
      <c r="K3" s="167"/>
    </row>
    <row r="4" spans="1:24" s="154" customFormat="1" ht="126" customHeight="1">
      <c r="A4" s="163" t="s">
        <v>13</v>
      </c>
      <c r="B4" s="163" t="s">
        <v>1402</v>
      </c>
      <c r="C4" s="163">
        <v>121</v>
      </c>
      <c r="D4" s="163" t="s">
        <v>1606</v>
      </c>
      <c r="E4" s="163">
        <v>1</v>
      </c>
      <c r="F4" s="163" t="s">
        <v>1593</v>
      </c>
      <c r="G4" s="169">
        <v>980</v>
      </c>
      <c r="H4" s="169">
        <v>980</v>
      </c>
      <c r="I4" s="166">
        <v>46076</v>
      </c>
      <c r="J4" s="163" t="s">
        <v>1287</v>
      </c>
      <c r="K4" s="167"/>
    </row>
    <row r="5" spans="1:24" s="154" customFormat="1" ht="126" customHeight="1">
      <c r="A5" s="163" t="s">
        <v>13</v>
      </c>
      <c r="B5" s="163" t="s">
        <v>1608</v>
      </c>
      <c r="C5" s="163">
        <v>120</v>
      </c>
      <c r="D5" s="163" t="s">
        <v>1607</v>
      </c>
      <c r="E5" s="163">
        <v>1</v>
      </c>
      <c r="F5" s="163" t="s">
        <v>1598</v>
      </c>
      <c r="G5" s="169">
        <v>1300</v>
      </c>
      <c r="H5" s="169">
        <v>1300</v>
      </c>
      <c r="I5" s="166">
        <v>46111</v>
      </c>
      <c r="J5" s="163" t="s">
        <v>1287</v>
      </c>
      <c r="K5" s="167"/>
    </row>
    <row r="6" spans="1:24" s="154" customFormat="1" ht="126" customHeight="1">
      <c r="A6" s="163" t="s">
        <v>13</v>
      </c>
      <c r="B6" s="163" t="s">
        <v>1436</v>
      </c>
      <c r="C6" s="163">
        <v>114</v>
      </c>
      <c r="D6" s="163" t="s">
        <v>1609</v>
      </c>
      <c r="E6" s="163">
        <v>1</v>
      </c>
      <c r="F6" s="163" t="s">
        <v>1578</v>
      </c>
      <c r="G6" s="169">
        <v>1300</v>
      </c>
      <c r="H6" s="169">
        <v>1300</v>
      </c>
      <c r="I6" s="166">
        <v>46037</v>
      </c>
      <c r="J6" s="163" t="s">
        <v>1287</v>
      </c>
      <c r="K6" s="167"/>
    </row>
    <row r="7" spans="1:24" s="154" customFormat="1" ht="89.25" customHeight="1">
      <c r="A7" s="163" t="s">
        <v>13</v>
      </c>
      <c r="B7" s="163" t="s">
        <v>1382</v>
      </c>
      <c r="C7" s="163">
        <v>119</v>
      </c>
      <c r="D7" s="163" t="s">
        <v>1610</v>
      </c>
      <c r="E7" s="163">
        <v>2</v>
      </c>
      <c r="F7" s="163" t="s">
        <v>1557</v>
      </c>
      <c r="G7" s="169">
        <v>980</v>
      </c>
      <c r="H7" s="169">
        <v>1960</v>
      </c>
      <c r="I7" s="166">
        <v>46031</v>
      </c>
      <c r="J7" s="163" t="s">
        <v>1490</v>
      </c>
      <c r="K7" s="167"/>
    </row>
    <row r="8" spans="1:24" s="154" customFormat="1" ht="103.5" customHeight="1">
      <c r="A8" s="163" t="s">
        <v>13</v>
      </c>
      <c r="B8" s="163" t="s">
        <v>1604</v>
      </c>
      <c r="C8" s="163">
        <v>117</v>
      </c>
      <c r="D8" s="163" t="s">
        <v>1611</v>
      </c>
      <c r="E8" s="163">
        <v>1</v>
      </c>
      <c r="F8" s="163" t="s">
        <v>1553</v>
      </c>
      <c r="G8" s="169">
        <v>1500</v>
      </c>
      <c r="H8" s="169">
        <v>1500</v>
      </c>
      <c r="I8" s="166">
        <v>46029</v>
      </c>
      <c r="J8" s="163" t="s">
        <v>1486</v>
      </c>
      <c r="K8" s="167"/>
    </row>
    <row r="9" spans="1:24" s="154" customFormat="1" ht="108" customHeight="1">
      <c r="A9" s="163" t="s">
        <v>13</v>
      </c>
      <c r="B9" s="163"/>
      <c r="C9" s="163">
        <v>124</v>
      </c>
      <c r="D9" s="163" t="s">
        <v>1610</v>
      </c>
      <c r="E9" s="163">
        <v>1</v>
      </c>
      <c r="F9" s="163" t="s">
        <v>1544</v>
      </c>
      <c r="G9" s="169">
        <v>1200</v>
      </c>
      <c r="H9" s="169">
        <v>1200</v>
      </c>
      <c r="I9" s="166">
        <v>46000</v>
      </c>
      <c r="J9" s="163" t="s">
        <v>1484</v>
      </c>
      <c r="K9" s="167"/>
    </row>
    <row r="10" spans="1:24" s="154" customFormat="1" ht="120.75" customHeight="1">
      <c r="A10" s="163" t="s">
        <v>13</v>
      </c>
      <c r="B10" s="163" t="s">
        <v>1402</v>
      </c>
      <c r="C10" s="163">
        <v>122</v>
      </c>
      <c r="D10" s="163" t="s">
        <v>1612</v>
      </c>
      <c r="E10" s="163">
        <v>1</v>
      </c>
      <c r="F10" s="163" t="s">
        <v>1542</v>
      </c>
      <c r="G10" s="169">
        <v>1300</v>
      </c>
      <c r="H10" s="169">
        <v>1300</v>
      </c>
      <c r="I10" s="166">
        <v>46027</v>
      </c>
      <c r="J10" s="163" t="s">
        <v>1484</v>
      </c>
      <c r="K10" s="167"/>
    </row>
    <row r="11" spans="1:24" s="154" customFormat="1" ht="97.5" customHeight="1">
      <c r="A11" s="163" t="s">
        <v>13</v>
      </c>
      <c r="B11" s="163" t="s">
        <v>1402</v>
      </c>
      <c r="C11" s="163">
        <v>123</v>
      </c>
      <c r="D11" s="163" t="s">
        <v>1612</v>
      </c>
      <c r="E11" s="163">
        <v>1</v>
      </c>
      <c r="F11" s="163" t="s">
        <v>1541</v>
      </c>
      <c r="G11" s="169">
        <v>1300</v>
      </c>
      <c r="H11" s="169">
        <v>1300</v>
      </c>
      <c r="I11" s="166">
        <v>46027</v>
      </c>
      <c r="J11" s="163" t="s">
        <v>1484</v>
      </c>
      <c r="K11" s="167"/>
    </row>
    <row r="12" spans="1:24" s="154" customFormat="1" ht="126" customHeight="1">
      <c r="A12" s="163" t="s">
        <v>13</v>
      </c>
      <c r="B12" s="163" t="s">
        <v>1436</v>
      </c>
      <c r="C12" s="163">
        <v>114</v>
      </c>
      <c r="D12" s="163" t="s">
        <v>1590</v>
      </c>
      <c r="E12" s="163">
        <v>1</v>
      </c>
      <c r="F12" s="163" t="s">
        <v>1543</v>
      </c>
      <c r="G12" s="169">
        <v>1300</v>
      </c>
      <c r="H12" s="169">
        <v>1300</v>
      </c>
      <c r="I12" s="166">
        <v>45971</v>
      </c>
      <c r="J12" s="163" t="s">
        <v>1287</v>
      </c>
      <c r="K12" s="167"/>
    </row>
    <row r="13" spans="1:24" s="154" customFormat="1" ht="109.5" customHeight="1">
      <c r="A13" s="163" t="s">
        <v>13</v>
      </c>
      <c r="B13" s="163" t="s">
        <v>1386</v>
      </c>
      <c r="C13" s="163">
        <v>115</v>
      </c>
      <c r="D13" s="163" t="s">
        <v>1613</v>
      </c>
      <c r="E13" s="163">
        <v>1</v>
      </c>
      <c r="F13" s="163" t="s">
        <v>1412</v>
      </c>
      <c r="G13" s="169">
        <v>1300</v>
      </c>
      <c r="H13" s="169">
        <v>1300</v>
      </c>
      <c r="I13" s="166">
        <v>45903</v>
      </c>
      <c r="J13" s="163" t="s">
        <v>1480</v>
      </c>
      <c r="K13" s="167"/>
    </row>
    <row r="14" spans="1:24" s="154" customFormat="1" ht="104.25" customHeight="1">
      <c r="A14" s="163" t="s">
        <v>13</v>
      </c>
      <c r="B14" s="163" t="s">
        <v>1509</v>
      </c>
      <c r="C14" s="163">
        <v>113</v>
      </c>
      <c r="D14" s="163" t="s">
        <v>1614</v>
      </c>
      <c r="E14" s="163">
        <v>4</v>
      </c>
      <c r="F14" s="163" t="s">
        <v>1450</v>
      </c>
      <c r="G14" s="169">
        <v>1300</v>
      </c>
      <c r="H14" s="169">
        <v>5200</v>
      </c>
      <c r="I14" s="166">
        <v>45894</v>
      </c>
      <c r="J14" s="163" t="s">
        <v>1481</v>
      </c>
      <c r="K14" s="167"/>
    </row>
    <row r="15" spans="1:24" s="154" customFormat="1" ht="118.5" customHeight="1">
      <c r="A15" s="163" t="s">
        <v>13</v>
      </c>
      <c r="B15" s="163" t="s">
        <v>1509</v>
      </c>
      <c r="C15" s="163">
        <v>113</v>
      </c>
      <c r="D15" s="163" t="s">
        <v>1615</v>
      </c>
      <c r="E15" s="163">
        <v>1</v>
      </c>
      <c r="F15" s="163" t="s">
        <v>1411</v>
      </c>
      <c r="G15" s="169">
        <v>1300</v>
      </c>
      <c r="H15" s="169">
        <v>1300</v>
      </c>
      <c r="I15" s="166">
        <v>45890</v>
      </c>
      <c r="J15" s="163" t="s">
        <v>1482</v>
      </c>
      <c r="K15" s="167"/>
    </row>
    <row r="16" spans="1:24" s="154" customFormat="1" ht="118.5" customHeight="1">
      <c r="A16" s="163" t="s">
        <v>13</v>
      </c>
      <c r="B16" s="163" t="s">
        <v>1549</v>
      </c>
      <c r="C16" s="163">
        <v>117</v>
      </c>
      <c r="D16" s="163" t="s">
        <v>1616</v>
      </c>
      <c r="E16" s="163">
        <v>1</v>
      </c>
      <c r="F16" s="163" t="s">
        <v>1367</v>
      </c>
      <c r="G16" s="169">
        <v>1500</v>
      </c>
      <c r="H16" s="169">
        <v>1500</v>
      </c>
      <c r="I16" s="166"/>
      <c r="J16" s="163" t="s">
        <v>1486</v>
      </c>
      <c r="K16" s="167"/>
    </row>
    <row r="17" spans="1:11" s="154" customFormat="1" ht="106.5" customHeight="1">
      <c r="A17" s="163" t="s">
        <v>13</v>
      </c>
      <c r="B17" s="163" t="s">
        <v>1386</v>
      </c>
      <c r="C17" s="163">
        <v>115</v>
      </c>
      <c r="D17" s="163" t="s">
        <v>1610</v>
      </c>
      <c r="E17" s="163">
        <v>1</v>
      </c>
      <c r="F17" s="163" t="s">
        <v>1412</v>
      </c>
      <c r="G17" s="169">
        <v>1300</v>
      </c>
      <c r="H17" s="169">
        <v>1300</v>
      </c>
      <c r="I17" s="166"/>
      <c r="J17" s="163" t="s">
        <v>1489</v>
      </c>
      <c r="K17" s="167"/>
    </row>
    <row r="18" spans="1:11" s="154" customFormat="1" ht="108" customHeight="1">
      <c r="A18" s="163" t="s">
        <v>13</v>
      </c>
      <c r="B18" s="163" t="s">
        <v>1382</v>
      </c>
      <c r="C18" s="163">
        <v>118</v>
      </c>
      <c r="D18" s="163" t="s">
        <v>1617</v>
      </c>
      <c r="E18" s="163">
        <v>1</v>
      </c>
      <c r="F18" s="163" t="s">
        <v>1363</v>
      </c>
      <c r="G18" s="169">
        <v>1300</v>
      </c>
      <c r="H18" s="169">
        <v>1300</v>
      </c>
      <c r="I18" s="166">
        <v>45848</v>
      </c>
      <c r="J18" s="163" t="s">
        <v>1490</v>
      </c>
      <c r="K18" s="167"/>
    </row>
    <row r="19" spans="1:11" s="154" customFormat="1" ht="132" customHeight="1">
      <c r="A19" s="163" t="s">
        <v>13</v>
      </c>
      <c r="B19" s="163" t="s">
        <v>1436</v>
      </c>
      <c r="C19" s="163">
        <v>113</v>
      </c>
      <c r="D19" s="163" t="s">
        <v>1618</v>
      </c>
      <c r="E19" s="163">
        <v>3</v>
      </c>
      <c r="F19" s="163" t="s">
        <v>1411</v>
      </c>
      <c r="G19" s="169">
        <v>1300</v>
      </c>
      <c r="H19" s="169">
        <v>3900</v>
      </c>
      <c r="I19" s="166">
        <v>45839</v>
      </c>
      <c r="J19" s="163" t="s">
        <v>1287</v>
      </c>
      <c r="K19" s="167"/>
    </row>
    <row r="20" spans="1:11">
      <c r="A20" s="1"/>
      <c r="B20" s="1"/>
      <c r="D20" s="1"/>
      <c r="E20" s="1"/>
      <c r="F20" s="1"/>
      <c r="G20" s="94"/>
      <c r="H20" s="170">
        <f>SUM(H2:H19)</f>
        <v>30740</v>
      </c>
      <c r="I20" s="1"/>
      <c r="J20" s="1"/>
      <c r="K20" s="1"/>
    </row>
  </sheetData>
  <autoFilter ref="A1:X20" xr:uid="{685D18D7-A900-427A-8DE8-DACAD82DCE53}"/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990C-EE5A-4205-9571-2966B6CDD445}">
  <sheetPr filterMode="1"/>
  <dimension ref="A1:X20"/>
  <sheetViews>
    <sheetView workbookViewId="0">
      <selection activeCell="F18" sqref="F18"/>
    </sheetView>
  </sheetViews>
  <sheetFormatPr defaultRowHeight="15"/>
  <cols>
    <col min="1" max="1" width="17.7109375" customWidth="1"/>
    <col min="2" max="2" width="13" customWidth="1"/>
    <col min="3" max="3" width="4.42578125" style="1" customWidth="1"/>
    <col min="4" max="4" width="12.140625" customWidth="1"/>
    <col min="5" max="5" width="5.28515625" customWidth="1"/>
    <col min="6" max="6" width="19" customWidth="1"/>
    <col min="7" max="7" width="10.42578125" style="147" customWidth="1"/>
    <col min="8" max="8" width="11.42578125" style="147" customWidth="1"/>
    <col min="9" max="9" width="11.140625" customWidth="1"/>
    <col min="10" max="10" width="22.5703125" customWidth="1"/>
    <col min="11" max="11" width="16.42578125" customWidth="1"/>
  </cols>
  <sheetData>
    <row r="1" spans="1:24" ht="47.25" customHeight="1">
      <c r="A1" s="5" t="s">
        <v>0</v>
      </c>
      <c r="B1" s="6" t="s">
        <v>1</v>
      </c>
      <c r="C1" s="172" t="s">
        <v>2</v>
      </c>
      <c r="D1" s="7" t="s">
        <v>3</v>
      </c>
      <c r="E1" s="7" t="s">
        <v>4</v>
      </c>
      <c r="F1" s="7" t="s">
        <v>5</v>
      </c>
      <c r="G1" s="146" t="s">
        <v>954</v>
      </c>
      <c r="H1" s="146" t="s">
        <v>955</v>
      </c>
      <c r="I1" s="7" t="s">
        <v>10</v>
      </c>
      <c r="J1" s="14" t="s">
        <v>12</v>
      </c>
      <c r="K1" s="15" t="s">
        <v>956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154" customFormat="1" ht="138.75" hidden="1" customHeight="1">
      <c r="A2" s="163" t="s">
        <v>13</v>
      </c>
      <c r="B2" s="163" t="s">
        <v>1633</v>
      </c>
      <c r="C2" s="163">
        <v>161</v>
      </c>
      <c r="D2" s="163" t="s">
        <v>1636</v>
      </c>
      <c r="E2" s="163">
        <v>1</v>
      </c>
      <c r="F2" s="163" t="s">
        <v>1632</v>
      </c>
      <c r="G2" s="169">
        <v>980</v>
      </c>
      <c r="H2" s="169">
        <v>1180</v>
      </c>
      <c r="I2" s="166">
        <v>46164</v>
      </c>
      <c r="J2" s="163" t="s">
        <v>1635</v>
      </c>
      <c r="K2" s="167"/>
    </row>
    <row r="3" spans="1:24" s="154" customFormat="1" ht="138.75" hidden="1" customHeight="1">
      <c r="A3" s="163" t="s">
        <v>13</v>
      </c>
      <c r="B3" s="163" t="s">
        <v>1602</v>
      </c>
      <c r="C3" s="163">
        <v>160</v>
      </c>
      <c r="D3" s="163" t="s">
        <v>1619</v>
      </c>
      <c r="E3" s="163">
        <v>1</v>
      </c>
      <c r="F3" s="163" t="s">
        <v>1600</v>
      </c>
      <c r="G3" s="169">
        <v>1400</v>
      </c>
      <c r="H3" s="169">
        <v>1400</v>
      </c>
      <c r="I3" s="166">
        <v>46118</v>
      </c>
      <c r="J3" s="163" t="s">
        <v>1635</v>
      </c>
      <c r="K3" s="167"/>
    </row>
    <row r="4" spans="1:24" s="154" customFormat="1" ht="138.75" hidden="1" customHeight="1">
      <c r="A4" s="163" t="s">
        <v>13</v>
      </c>
      <c r="B4" s="163" t="s">
        <v>1436</v>
      </c>
      <c r="C4" s="163">
        <v>149</v>
      </c>
      <c r="D4" s="163" t="s">
        <v>1620</v>
      </c>
      <c r="E4" s="163">
        <v>1</v>
      </c>
      <c r="F4" s="163" t="s">
        <v>1595</v>
      </c>
      <c r="G4" s="169">
        <v>1400</v>
      </c>
      <c r="H4" s="169">
        <v>1400</v>
      </c>
      <c r="I4" s="166">
        <v>46114</v>
      </c>
      <c r="J4" s="163" t="s">
        <v>1635</v>
      </c>
      <c r="K4" s="167"/>
    </row>
    <row r="5" spans="1:24" s="154" customFormat="1" ht="126" hidden="1" customHeight="1">
      <c r="A5" s="163" t="s">
        <v>13</v>
      </c>
      <c r="B5" s="163" t="s">
        <v>1634</v>
      </c>
      <c r="C5" s="163">
        <v>155</v>
      </c>
      <c r="D5" s="163" t="s">
        <v>1621</v>
      </c>
      <c r="E5" s="163">
        <v>1</v>
      </c>
      <c r="F5" s="163" t="s">
        <v>1593</v>
      </c>
      <c r="G5" s="169">
        <v>980</v>
      </c>
      <c r="H5" s="169">
        <v>980</v>
      </c>
      <c r="I5" s="166">
        <v>46076</v>
      </c>
      <c r="J5" s="163" t="s">
        <v>1635</v>
      </c>
      <c r="K5" s="167"/>
    </row>
    <row r="6" spans="1:24" s="154" customFormat="1" ht="126" hidden="1" customHeight="1">
      <c r="A6" s="163" t="s">
        <v>13</v>
      </c>
      <c r="B6" s="163" t="s">
        <v>1608</v>
      </c>
      <c r="C6" s="163">
        <v>158</v>
      </c>
      <c r="D6" s="163" t="s">
        <v>1622</v>
      </c>
      <c r="E6" s="163">
        <v>1</v>
      </c>
      <c r="F6" s="163" t="s">
        <v>1598</v>
      </c>
      <c r="G6" s="169">
        <v>1300</v>
      </c>
      <c r="H6" s="169">
        <v>1300</v>
      </c>
      <c r="I6" s="166">
        <v>46111</v>
      </c>
      <c r="J6" s="163" t="s">
        <v>1635</v>
      </c>
      <c r="K6" s="167"/>
    </row>
    <row r="7" spans="1:24" s="154" customFormat="1" ht="126" hidden="1" customHeight="1">
      <c r="A7" s="163" t="s">
        <v>13</v>
      </c>
      <c r="B7" s="163" t="s">
        <v>1436</v>
      </c>
      <c r="C7" s="163">
        <v>150</v>
      </c>
      <c r="D7" s="163" t="s">
        <v>1623</v>
      </c>
      <c r="E7" s="163">
        <v>1</v>
      </c>
      <c r="F7" s="163" t="s">
        <v>1578</v>
      </c>
      <c r="G7" s="169">
        <v>1300</v>
      </c>
      <c r="H7" s="169">
        <v>1300</v>
      </c>
      <c r="I7" s="166">
        <v>46037</v>
      </c>
      <c r="J7" s="163" t="s">
        <v>1635</v>
      </c>
      <c r="K7" s="167"/>
    </row>
    <row r="8" spans="1:24" s="154" customFormat="1" ht="89.25" customHeight="1">
      <c r="A8" s="163" t="s">
        <v>13</v>
      </c>
      <c r="B8" s="163" t="s">
        <v>1382</v>
      </c>
      <c r="C8" s="163">
        <v>153</v>
      </c>
      <c r="D8" s="163" t="s">
        <v>1624</v>
      </c>
      <c r="E8" s="163">
        <v>2</v>
      </c>
      <c r="F8" s="163" t="s">
        <v>1557</v>
      </c>
      <c r="G8" s="169">
        <v>980</v>
      </c>
      <c r="H8" s="169">
        <v>1960</v>
      </c>
      <c r="I8" s="166">
        <v>46031</v>
      </c>
      <c r="J8" s="163" t="s">
        <v>1635</v>
      </c>
      <c r="K8" s="167"/>
    </row>
    <row r="9" spans="1:24" s="154" customFormat="1" ht="108" hidden="1" customHeight="1">
      <c r="A9" s="163" t="s">
        <v>13</v>
      </c>
      <c r="B9" s="163"/>
      <c r="C9" s="163">
        <v>159</v>
      </c>
      <c r="D9" s="163" t="s">
        <v>1624</v>
      </c>
      <c r="E9" s="163">
        <v>1</v>
      </c>
      <c r="F9" s="163" t="s">
        <v>1544</v>
      </c>
      <c r="G9" s="169">
        <v>1200</v>
      </c>
      <c r="H9" s="169">
        <v>1200</v>
      </c>
      <c r="I9" s="166">
        <v>46000</v>
      </c>
      <c r="J9" s="163" t="s">
        <v>1635</v>
      </c>
      <c r="K9" s="167"/>
    </row>
    <row r="10" spans="1:24" s="154" customFormat="1" ht="120.75" hidden="1" customHeight="1">
      <c r="A10" s="163" t="s">
        <v>13</v>
      </c>
      <c r="B10" s="163" t="s">
        <v>1402</v>
      </c>
      <c r="C10" s="163">
        <v>156</v>
      </c>
      <c r="D10" s="163" t="s">
        <v>1625</v>
      </c>
      <c r="E10" s="163">
        <v>1</v>
      </c>
      <c r="F10" s="163" t="s">
        <v>1542</v>
      </c>
      <c r="G10" s="169">
        <v>1300</v>
      </c>
      <c r="H10" s="169">
        <v>1300</v>
      </c>
      <c r="I10" s="166">
        <v>46027</v>
      </c>
      <c r="J10" s="163" t="s">
        <v>1635</v>
      </c>
      <c r="K10" s="167"/>
    </row>
    <row r="11" spans="1:24" s="154" customFormat="1" ht="97.5" hidden="1" customHeight="1">
      <c r="A11" s="163" t="s">
        <v>13</v>
      </c>
      <c r="B11" s="163" t="s">
        <v>1402</v>
      </c>
      <c r="C11" s="163">
        <v>157</v>
      </c>
      <c r="D11" s="163" t="s">
        <v>1625</v>
      </c>
      <c r="E11" s="163">
        <v>1</v>
      </c>
      <c r="F11" s="163" t="s">
        <v>1541</v>
      </c>
      <c r="G11" s="169">
        <v>1300</v>
      </c>
      <c r="H11" s="169">
        <v>1300</v>
      </c>
      <c r="I11" s="166">
        <v>46027</v>
      </c>
      <c r="J11" s="163" t="s">
        <v>1635</v>
      </c>
      <c r="K11" s="167"/>
    </row>
    <row r="12" spans="1:24" s="154" customFormat="1" ht="126" hidden="1" customHeight="1">
      <c r="A12" s="163" t="s">
        <v>13</v>
      </c>
      <c r="B12" s="163" t="s">
        <v>1436</v>
      </c>
      <c r="C12" s="163">
        <v>150</v>
      </c>
      <c r="D12" s="163" t="s">
        <v>1617</v>
      </c>
      <c r="E12" s="163">
        <v>1</v>
      </c>
      <c r="F12" s="163" t="s">
        <v>1543</v>
      </c>
      <c r="G12" s="169">
        <v>1300</v>
      </c>
      <c r="H12" s="169">
        <v>1300</v>
      </c>
      <c r="I12" s="166">
        <v>45971</v>
      </c>
      <c r="J12" s="163" t="s">
        <v>1287</v>
      </c>
      <c r="K12" s="167"/>
    </row>
    <row r="13" spans="1:24" s="154" customFormat="1" ht="109.5" hidden="1" customHeight="1">
      <c r="A13" s="163" t="s">
        <v>13</v>
      </c>
      <c r="B13" s="163" t="s">
        <v>1653</v>
      </c>
      <c r="C13" s="163">
        <v>151</v>
      </c>
      <c r="D13" s="163" t="s">
        <v>1626</v>
      </c>
      <c r="E13" s="163">
        <v>1</v>
      </c>
      <c r="F13" s="163" t="s">
        <v>1412</v>
      </c>
      <c r="G13" s="169">
        <v>1300</v>
      </c>
      <c r="H13" s="169">
        <v>1300</v>
      </c>
      <c r="I13" s="166">
        <v>45903</v>
      </c>
      <c r="J13" s="163" t="s">
        <v>1480</v>
      </c>
      <c r="K13" s="167"/>
    </row>
    <row r="14" spans="1:24" s="154" customFormat="1" ht="104.25" hidden="1" customHeight="1">
      <c r="A14" s="163" t="s">
        <v>13</v>
      </c>
      <c r="B14" s="163" t="s">
        <v>1509</v>
      </c>
      <c r="C14" s="163">
        <v>148</v>
      </c>
      <c r="D14" s="163" t="s">
        <v>1627</v>
      </c>
      <c r="E14" s="163">
        <v>4</v>
      </c>
      <c r="F14" s="163" t="s">
        <v>1450</v>
      </c>
      <c r="G14" s="169">
        <v>1300</v>
      </c>
      <c r="H14" s="169">
        <v>5200</v>
      </c>
      <c r="I14" s="166">
        <v>45894</v>
      </c>
      <c r="J14" s="163" t="s">
        <v>1481</v>
      </c>
      <c r="K14" s="167"/>
    </row>
    <row r="15" spans="1:24" s="154" customFormat="1" ht="118.5" hidden="1" customHeight="1">
      <c r="A15" s="163" t="s">
        <v>13</v>
      </c>
      <c r="B15" s="163" t="s">
        <v>1509</v>
      </c>
      <c r="C15" s="163">
        <v>148</v>
      </c>
      <c r="D15" s="163" t="s">
        <v>1628</v>
      </c>
      <c r="E15" s="163">
        <v>1</v>
      </c>
      <c r="F15" s="163" t="s">
        <v>1411</v>
      </c>
      <c r="G15" s="169">
        <v>1300</v>
      </c>
      <c r="H15" s="169">
        <v>1300</v>
      </c>
      <c r="I15" s="166">
        <v>45890</v>
      </c>
      <c r="J15" s="163" t="s">
        <v>1482</v>
      </c>
      <c r="K15" s="167"/>
    </row>
    <row r="16" spans="1:24" s="154" customFormat="1" ht="118.5" customHeight="1">
      <c r="A16" s="163" t="s">
        <v>13</v>
      </c>
      <c r="B16" s="163" t="s">
        <v>1549</v>
      </c>
      <c r="C16" s="163">
        <v>154</v>
      </c>
      <c r="D16" s="163" t="s">
        <v>1629</v>
      </c>
      <c r="E16" s="163">
        <v>1</v>
      </c>
      <c r="F16" s="163" t="s">
        <v>1367</v>
      </c>
      <c r="G16" s="169">
        <v>1500</v>
      </c>
      <c r="H16" s="169">
        <v>1500</v>
      </c>
      <c r="I16" s="166"/>
      <c r="J16" s="163" t="s">
        <v>1486</v>
      </c>
      <c r="K16" s="167"/>
    </row>
    <row r="17" spans="1:11" s="154" customFormat="1" ht="106.5" hidden="1" customHeight="1">
      <c r="A17" s="163" t="s">
        <v>13</v>
      </c>
      <c r="B17" s="163" t="s">
        <v>1386</v>
      </c>
      <c r="C17" s="163">
        <v>151</v>
      </c>
      <c r="D17" s="163" t="s">
        <v>1624</v>
      </c>
      <c r="E17" s="163">
        <v>1</v>
      </c>
      <c r="F17" s="163" t="s">
        <v>1412</v>
      </c>
      <c r="G17" s="169">
        <v>1300</v>
      </c>
      <c r="H17" s="169">
        <v>1300</v>
      </c>
      <c r="I17" s="166"/>
      <c r="J17" s="163" t="s">
        <v>1635</v>
      </c>
      <c r="K17" s="167"/>
    </row>
    <row r="18" spans="1:11" s="154" customFormat="1" ht="108" customHeight="1">
      <c r="A18" s="163" t="s">
        <v>13</v>
      </c>
      <c r="B18" s="163" t="s">
        <v>1382</v>
      </c>
      <c r="C18" s="163">
        <v>152</v>
      </c>
      <c r="D18" s="163" t="s">
        <v>1630</v>
      </c>
      <c r="E18" s="163">
        <v>1</v>
      </c>
      <c r="F18" s="163" t="s">
        <v>1363</v>
      </c>
      <c r="G18" s="169">
        <v>1300</v>
      </c>
      <c r="H18" s="169">
        <v>1300</v>
      </c>
      <c r="I18" s="166">
        <v>45848</v>
      </c>
      <c r="J18" s="163" t="s">
        <v>1635</v>
      </c>
      <c r="K18" s="167"/>
    </row>
    <row r="19" spans="1:11" s="154" customFormat="1" ht="132" hidden="1" customHeight="1">
      <c r="A19" s="163" t="s">
        <v>13</v>
      </c>
      <c r="B19" s="163" t="s">
        <v>1436</v>
      </c>
      <c r="C19" s="163">
        <v>148</v>
      </c>
      <c r="D19" s="163" t="s">
        <v>1631</v>
      </c>
      <c r="E19" s="163">
        <v>3</v>
      </c>
      <c r="F19" s="163" t="s">
        <v>1411</v>
      </c>
      <c r="G19" s="169">
        <v>1300</v>
      </c>
      <c r="H19" s="169">
        <v>3900</v>
      </c>
      <c r="I19" s="166">
        <v>45839</v>
      </c>
      <c r="J19" s="163" t="s">
        <v>1635</v>
      </c>
      <c r="K19" s="167"/>
    </row>
    <row r="20" spans="1:11" hidden="1">
      <c r="A20" s="1"/>
      <c r="B20" s="1"/>
      <c r="D20" s="1"/>
      <c r="E20" s="1"/>
      <c r="F20" s="1"/>
      <c r="G20" s="94"/>
      <c r="H20" s="170">
        <f>SUM(H2:H19)</f>
        <v>30420</v>
      </c>
      <c r="I20" s="1"/>
      <c r="J20" s="1"/>
      <c r="K20" s="1"/>
    </row>
  </sheetData>
  <autoFilter ref="A1:X20" xr:uid="{685D18D7-A900-427A-8DE8-DACAD82DCE53}">
    <filterColumn colId="1">
      <filters>
        <filter val="ENCARREGADO YURE"/>
      </filters>
    </filterColumn>
  </autoFilter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01A-5864-4394-A371-84F367D2CF62}">
  <dimension ref="A1:X23"/>
  <sheetViews>
    <sheetView topLeftCell="A19" workbookViewId="0">
      <selection activeCell="I23" sqref="I23"/>
    </sheetView>
  </sheetViews>
  <sheetFormatPr defaultRowHeight="15"/>
  <cols>
    <col min="1" max="1" width="17.7109375" style="188" customWidth="1"/>
    <col min="2" max="2" width="14.85546875" style="188" customWidth="1"/>
    <col min="3" max="3" width="5" style="179" customWidth="1"/>
    <col min="4" max="4" width="12.140625" style="188" customWidth="1"/>
    <col min="5" max="5" width="6.85546875" style="177" customWidth="1"/>
    <col min="6" max="6" width="19" style="186" customWidth="1"/>
    <col min="7" max="7" width="10.42578125" style="184" customWidth="1"/>
    <col min="8" max="8" width="11.42578125" style="182" customWidth="1"/>
    <col min="9" max="9" width="11.140625" style="177" customWidth="1"/>
    <col min="10" max="10" width="22.5703125" style="159" customWidth="1"/>
    <col min="11" max="11" width="16.42578125" style="174" customWidth="1"/>
  </cols>
  <sheetData>
    <row r="1" spans="1:24" s="190" customFormat="1" ht="47.25" customHeight="1">
      <c r="A1" s="175" t="s">
        <v>0</v>
      </c>
      <c r="B1" s="175" t="s">
        <v>1</v>
      </c>
      <c r="C1" s="178" t="s">
        <v>2</v>
      </c>
      <c r="D1" s="175" t="s">
        <v>3</v>
      </c>
      <c r="E1" s="175" t="s">
        <v>4</v>
      </c>
      <c r="F1" s="175" t="s">
        <v>5</v>
      </c>
      <c r="G1" s="180" t="s">
        <v>954</v>
      </c>
      <c r="H1" s="180" t="s">
        <v>955</v>
      </c>
      <c r="I1" s="175" t="s">
        <v>10</v>
      </c>
      <c r="J1" s="175" t="s">
        <v>12</v>
      </c>
      <c r="K1" s="175" t="s">
        <v>956</v>
      </c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</row>
    <row r="2" spans="1:24" s="154" customFormat="1" ht="89.25" customHeight="1">
      <c r="A2" s="191" t="s">
        <v>13</v>
      </c>
      <c r="B2" s="191" t="s">
        <v>1436</v>
      </c>
      <c r="C2" s="163">
        <v>190</v>
      </c>
      <c r="D2" s="191" t="s">
        <v>1650</v>
      </c>
      <c r="E2" s="191">
        <v>1</v>
      </c>
      <c r="F2" s="195" t="s">
        <v>1661</v>
      </c>
      <c r="G2" s="192">
        <v>1500</v>
      </c>
      <c r="H2" s="192">
        <v>1500</v>
      </c>
      <c r="I2" s="193">
        <v>46191</v>
      </c>
      <c r="J2" s="163" t="s">
        <v>1635</v>
      </c>
      <c r="K2" s="194"/>
    </row>
    <row r="3" spans="1:24" s="154" customFormat="1" ht="89.25" customHeight="1">
      <c r="A3" s="191" t="s">
        <v>13</v>
      </c>
      <c r="B3" s="191" t="s">
        <v>1659</v>
      </c>
      <c r="C3" s="163">
        <v>191</v>
      </c>
      <c r="D3" s="191" t="s">
        <v>1658</v>
      </c>
      <c r="E3" s="191">
        <v>1</v>
      </c>
      <c r="F3" s="195" t="s">
        <v>1657</v>
      </c>
      <c r="G3" s="192">
        <v>1500</v>
      </c>
      <c r="H3" s="192">
        <v>1500</v>
      </c>
      <c r="I3" s="193">
        <v>46189</v>
      </c>
      <c r="J3" s="163" t="s">
        <v>1635</v>
      </c>
      <c r="K3" s="194"/>
    </row>
    <row r="4" spans="1:24" s="154" customFormat="1" ht="89.25" customHeight="1">
      <c r="A4" s="191" t="s">
        <v>13</v>
      </c>
      <c r="B4" s="191" t="s">
        <v>1660</v>
      </c>
      <c r="C4" s="163">
        <v>195</v>
      </c>
      <c r="D4" s="191" t="s">
        <v>1655</v>
      </c>
      <c r="E4" s="191">
        <v>1</v>
      </c>
      <c r="F4" s="191" t="s">
        <v>1656</v>
      </c>
      <c r="G4" s="192">
        <v>980</v>
      </c>
      <c r="H4" s="192">
        <v>1180</v>
      </c>
      <c r="I4" s="193">
        <v>46196</v>
      </c>
      <c r="J4" s="163" t="s">
        <v>1635</v>
      </c>
      <c r="K4" s="194"/>
    </row>
    <row r="5" spans="1:24" s="154" customFormat="1" ht="89.25" customHeight="1">
      <c r="A5" s="191" t="s">
        <v>13</v>
      </c>
      <c r="B5" s="191" t="s">
        <v>1654</v>
      </c>
      <c r="C5" s="163">
        <v>198</v>
      </c>
      <c r="D5" s="191" t="s">
        <v>1662</v>
      </c>
      <c r="E5" s="191">
        <v>1</v>
      </c>
      <c r="F5" s="191" t="s">
        <v>1663</v>
      </c>
      <c r="G5" s="192">
        <v>980</v>
      </c>
      <c r="H5" s="192">
        <v>1180</v>
      </c>
      <c r="I5" s="193">
        <v>46202</v>
      </c>
      <c r="J5" s="163" t="s">
        <v>1635</v>
      </c>
      <c r="K5" s="194"/>
    </row>
    <row r="6" spans="1:24" s="154" customFormat="1" ht="138.75" customHeight="1">
      <c r="A6" s="191" t="s">
        <v>13</v>
      </c>
      <c r="B6" s="191" t="s">
        <v>1664</v>
      </c>
      <c r="C6" s="163">
        <v>196</v>
      </c>
      <c r="D6" s="191" t="s">
        <v>1643</v>
      </c>
      <c r="E6" s="191">
        <v>1</v>
      </c>
      <c r="F6" s="191" t="s">
        <v>1600</v>
      </c>
      <c r="G6" s="192">
        <v>1400</v>
      </c>
      <c r="H6" s="192">
        <v>1400</v>
      </c>
      <c r="I6" s="193">
        <v>46118</v>
      </c>
      <c r="J6" s="163" t="s">
        <v>1635</v>
      </c>
      <c r="K6" s="194"/>
    </row>
    <row r="7" spans="1:24" s="154" customFormat="1" ht="138.75" customHeight="1">
      <c r="A7" s="191" t="s">
        <v>13</v>
      </c>
      <c r="B7" s="191" t="s">
        <v>1651</v>
      </c>
      <c r="C7" s="163">
        <v>190</v>
      </c>
      <c r="D7" s="191" t="s">
        <v>1650</v>
      </c>
      <c r="E7" s="191">
        <v>1</v>
      </c>
      <c r="F7" s="191" t="s">
        <v>1649</v>
      </c>
      <c r="G7" s="192">
        <v>1500</v>
      </c>
      <c r="H7" s="192">
        <v>1700</v>
      </c>
      <c r="I7" s="193">
        <v>46191</v>
      </c>
      <c r="J7" s="163" t="s">
        <v>1635</v>
      </c>
      <c r="K7" s="194"/>
    </row>
    <row r="8" spans="1:24" s="154" customFormat="1" ht="138.75" customHeight="1">
      <c r="A8" s="191" t="s">
        <v>13</v>
      </c>
      <c r="B8" s="191" t="s">
        <v>1436</v>
      </c>
      <c r="C8" s="163">
        <v>190</v>
      </c>
      <c r="D8" s="191" t="s">
        <v>1637</v>
      </c>
      <c r="E8" s="191">
        <v>1</v>
      </c>
      <c r="F8" s="191" t="s">
        <v>1595</v>
      </c>
      <c r="G8" s="192">
        <v>1400</v>
      </c>
      <c r="H8" s="192">
        <v>1400</v>
      </c>
      <c r="I8" s="193">
        <v>46114</v>
      </c>
      <c r="J8" s="163" t="s">
        <v>1635</v>
      </c>
      <c r="K8" s="194"/>
    </row>
    <row r="9" spans="1:24" s="154" customFormat="1" ht="126" customHeight="1">
      <c r="A9" s="191" t="s">
        <v>13</v>
      </c>
      <c r="B9" s="191" t="s">
        <v>1634</v>
      </c>
      <c r="C9" s="163">
        <v>194</v>
      </c>
      <c r="D9" s="191" t="s">
        <v>1644</v>
      </c>
      <c r="E9" s="191">
        <v>1</v>
      </c>
      <c r="F9" s="191" t="s">
        <v>1593</v>
      </c>
      <c r="G9" s="192">
        <v>980</v>
      </c>
      <c r="H9" s="192">
        <v>980</v>
      </c>
      <c r="I9" s="193">
        <v>46076</v>
      </c>
      <c r="J9" s="163" t="s">
        <v>1635</v>
      </c>
      <c r="K9" s="194"/>
    </row>
    <row r="10" spans="1:24" s="154" customFormat="1" ht="126" customHeight="1">
      <c r="A10" s="191" t="s">
        <v>13</v>
      </c>
      <c r="B10" s="191" t="s">
        <v>1608</v>
      </c>
      <c r="C10" s="163">
        <v>199</v>
      </c>
      <c r="D10" s="191" t="s">
        <v>1645</v>
      </c>
      <c r="E10" s="191">
        <v>1</v>
      </c>
      <c r="F10" s="191" t="s">
        <v>1598</v>
      </c>
      <c r="G10" s="192">
        <v>1300</v>
      </c>
      <c r="H10" s="192">
        <v>1300</v>
      </c>
      <c r="I10" s="193">
        <v>46111</v>
      </c>
      <c r="J10" s="163" t="s">
        <v>1635</v>
      </c>
      <c r="K10" s="194"/>
    </row>
    <row r="11" spans="1:24" s="154" customFormat="1" ht="126" customHeight="1">
      <c r="A11" s="191" t="s">
        <v>13</v>
      </c>
      <c r="B11" s="191" t="s">
        <v>1436</v>
      </c>
      <c r="C11" s="163">
        <v>190</v>
      </c>
      <c r="D11" s="191" t="s">
        <v>1638</v>
      </c>
      <c r="E11" s="191">
        <v>1</v>
      </c>
      <c r="F11" s="191" t="s">
        <v>1578</v>
      </c>
      <c r="G11" s="192">
        <v>1300</v>
      </c>
      <c r="H11" s="192">
        <v>1300</v>
      </c>
      <c r="I11" s="193">
        <v>46037</v>
      </c>
      <c r="J11" s="163" t="s">
        <v>1635</v>
      </c>
      <c r="K11" s="194"/>
    </row>
    <row r="12" spans="1:24" s="154" customFormat="1" ht="89.25" customHeight="1">
      <c r="A12" s="191" t="s">
        <v>13</v>
      </c>
      <c r="B12" s="191" t="s">
        <v>1382</v>
      </c>
      <c r="C12" s="163">
        <v>192</v>
      </c>
      <c r="D12" s="191" t="s">
        <v>1641</v>
      </c>
      <c r="E12" s="191">
        <v>2</v>
      </c>
      <c r="F12" s="191" t="s">
        <v>1557</v>
      </c>
      <c r="G12" s="192">
        <v>980</v>
      </c>
      <c r="H12" s="192">
        <v>1960</v>
      </c>
      <c r="I12" s="193">
        <v>46031</v>
      </c>
      <c r="J12" s="163" t="s">
        <v>1635</v>
      </c>
      <c r="K12" s="194"/>
    </row>
    <row r="13" spans="1:24" s="154" customFormat="1" ht="108" customHeight="1">
      <c r="A13" s="191" t="s">
        <v>13</v>
      </c>
      <c r="B13" s="191"/>
      <c r="C13" s="163">
        <v>197</v>
      </c>
      <c r="D13" s="191" t="s">
        <v>1641</v>
      </c>
      <c r="E13" s="191">
        <v>1</v>
      </c>
      <c r="F13" s="191" t="s">
        <v>1544</v>
      </c>
      <c r="G13" s="192">
        <v>1200</v>
      </c>
      <c r="H13" s="192">
        <v>1200</v>
      </c>
      <c r="I13" s="193">
        <v>46000</v>
      </c>
      <c r="J13" s="163" t="s">
        <v>1635</v>
      </c>
      <c r="K13" s="194"/>
    </row>
    <row r="14" spans="1:24" s="154" customFormat="1" ht="120.75" customHeight="1">
      <c r="A14" s="191" t="s">
        <v>13</v>
      </c>
      <c r="B14" s="191" t="s">
        <v>1402</v>
      </c>
      <c r="C14" s="163">
        <v>194</v>
      </c>
      <c r="D14" s="191" t="s">
        <v>1646</v>
      </c>
      <c r="E14" s="191">
        <v>1</v>
      </c>
      <c r="F14" s="191" t="s">
        <v>1542</v>
      </c>
      <c r="G14" s="192">
        <v>1300</v>
      </c>
      <c r="H14" s="192">
        <v>1300</v>
      </c>
      <c r="I14" s="193">
        <v>46027</v>
      </c>
      <c r="J14" s="163" t="s">
        <v>1635</v>
      </c>
      <c r="K14" s="194"/>
    </row>
    <row r="15" spans="1:24" s="154" customFormat="1" ht="97.5" customHeight="1">
      <c r="A15" s="191" t="s">
        <v>13</v>
      </c>
      <c r="B15" s="191" t="s">
        <v>1402</v>
      </c>
      <c r="C15" s="163">
        <v>194</v>
      </c>
      <c r="D15" s="191" t="s">
        <v>1646</v>
      </c>
      <c r="E15" s="191">
        <v>1</v>
      </c>
      <c r="F15" s="191" t="s">
        <v>1541</v>
      </c>
      <c r="G15" s="192">
        <v>1300</v>
      </c>
      <c r="H15" s="192">
        <v>1300</v>
      </c>
      <c r="I15" s="193">
        <v>46027</v>
      </c>
      <c r="J15" s="163" t="s">
        <v>1635</v>
      </c>
      <c r="K15" s="194"/>
    </row>
    <row r="16" spans="1:24" s="154" customFormat="1" ht="126" customHeight="1">
      <c r="A16" s="191" t="s">
        <v>13</v>
      </c>
      <c r="B16" s="191" t="s">
        <v>1652</v>
      </c>
      <c r="C16" s="163">
        <v>190</v>
      </c>
      <c r="D16" s="191" t="s">
        <v>1630</v>
      </c>
      <c r="E16" s="191">
        <v>1</v>
      </c>
      <c r="F16" s="191" t="s">
        <v>1543</v>
      </c>
      <c r="G16" s="192">
        <v>1300</v>
      </c>
      <c r="H16" s="192">
        <v>1300</v>
      </c>
      <c r="I16" s="193">
        <v>45971</v>
      </c>
      <c r="J16" s="163" t="s">
        <v>1287</v>
      </c>
      <c r="K16" s="194"/>
    </row>
    <row r="17" spans="1:11" s="154" customFormat="1" ht="104.25" customHeight="1">
      <c r="A17" s="191" t="s">
        <v>13</v>
      </c>
      <c r="B17" s="191" t="s">
        <v>1509</v>
      </c>
      <c r="C17" s="163">
        <v>190</v>
      </c>
      <c r="D17" s="191" t="s">
        <v>1639</v>
      </c>
      <c r="E17" s="191">
        <v>4</v>
      </c>
      <c r="F17" s="191" t="s">
        <v>1450</v>
      </c>
      <c r="G17" s="192">
        <v>1300</v>
      </c>
      <c r="H17" s="192">
        <v>5200</v>
      </c>
      <c r="I17" s="193">
        <v>45894</v>
      </c>
      <c r="J17" s="163" t="s">
        <v>1481</v>
      </c>
      <c r="K17" s="194"/>
    </row>
    <row r="18" spans="1:11" s="154" customFormat="1" ht="118.5" customHeight="1">
      <c r="A18" s="191" t="s">
        <v>13</v>
      </c>
      <c r="B18" s="191" t="s">
        <v>1509</v>
      </c>
      <c r="C18" s="163">
        <v>190</v>
      </c>
      <c r="D18" s="191" t="s">
        <v>1640</v>
      </c>
      <c r="E18" s="191">
        <v>1</v>
      </c>
      <c r="F18" s="191" t="s">
        <v>1411</v>
      </c>
      <c r="G18" s="192">
        <v>1300</v>
      </c>
      <c r="H18" s="192">
        <v>1300</v>
      </c>
      <c r="I18" s="193">
        <v>45890</v>
      </c>
      <c r="J18" s="163" t="s">
        <v>1482</v>
      </c>
      <c r="K18" s="194"/>
    </row>
    <row r="19" spans="1:11" s="154" customFormat="1" ht="118.5" customHeight="1">
      <c r="A19" s="191" t="s">
        <v>13</v>
      </c>
      <c r="B19" s="191" t="s">
        <v>1665</v>
      </c>
      <c r="C19" s="163">
        <v>193</v>
      </c>
      <c r="D19" s="191" t="s">
        <v>1647</v>
      </c>
      <c r="E19" s="191">
        <v>1</v>
      </c>
      <c r="F19" s="191" t="s">
        <v>1367</v>
      </c>
      <c r="G19" s="192">
        <v>1500</v>
      </c>
      <c r="H19" s="192">
        <v>1500</v>
      </c>
      <c r="I19" s="193"/>
      <c r="J19" s="163" t="s">
        <v>1486</v>
      </c>
      <c r="K19" s="194"/>
    </row>
    <row r="20" spans="1:11" s="154" customFormat="1" ht="106.5" customHeight="1">
      <c r="A20" s="191" t="s">
        <v>13</v>
      </c>
      <c r="B20" s="191" t="s">
        <v>1386</v>
      </c>
      <c r="C20" s="163">
        <v>189</v>
      </c>
      <c r="D20" s="191" t="s">
        <v>1641</v>
      </c>
      <c r="E20" s="191">
        <v>1</v>
      </c>
      <c r="F20" s="191" t="s">
        <v>1412</v>
      </c>
      <c r="G20" s="192">
        <v>1300</v>
      </c>
      <c r="H20" s="192">
        <v>1300</v>
      </c>
      <c r="I20" s="193"/>
      <c r="J20" s="163" t="s">
        <v>1635</v>
      </c>
      <c r="K20" s="194"/>
    </row>
    <row r="21" spans="1:11" s="154" customFormat="1" ht="108" customHeight="1">
      <c r="A21" s="191" t="s">
        <v>13</v>
      </c>
      <c r="B21" s="191" t="s">
        <v>1382</v>
      </c>
      <c r="C21" s="163">
        <v>192</v>
      </c>
      <c r="D21" s="191" t="s">
        <v>1648</v>
      </c>
      <c r="E21" s="191">
        <v>1</v>
      </c>
      <c r="F21" s="191" t="s">
        <v>1363</v>
      </c>
      <c r="G21" s="192">
        <v>1300</v>
      </c>
      <c r="H21" s="192">
        <v>1300</v>
      </c>
      <c r="I21" s="193">
        <v>45848</v>
      </c>
      <c r="J21" s="163" t="s">
        <v>1635</v>
      </c>
      <c r="K21" s="194"/>
    </row>
    <row r="22" spans="1:11" s="154" customFormat="1" ht="132" customHeight="1">
      <c r="A22" s="191" t="s">
        <v>13</v>
      </c>
      <c r="B22" s="191" t="s">
        <v>1436</v>
      </c>
      <c r="C22" s="163">
        <v>190</v>
      </c>
      <c r="D22" s="191" t="s">
        <v>1642</v>
      </c>
      <c r="E22" s="191">
        <v>3</v>
      </c>
      <c r="F22" s="191" t="s">
        <v>1411</v>
      </c>
      <c r="G22" s="192">
        <v>1300</v>
      </c>
      <c r="H22" s="192">
        <v>3900</v>
      </c>
      <c r="I22" s="193">
        <v>45839</v>
      </c>
      <c r="J22" s="163" t="s">
        <v>1635</v>
      </c>
      <c r="K22" s="194"/>
    </row>
    <row r="23" spans="1:11">
      <c r="A23" s="187"/>
      <c r="B23" s="187"/>
      <c r="D23" s="187"/>
      <c r="E23" s="176"/>
      <c r="F23" s="185"/>
      <c r="G23" s="183"/>
      <c r="H23" s="181">
        <f>SUM(H2:H22)</f>
        <v>35000</v>
      </c>
      <c r="I23" s="176"/>
      <c r="J23" s="179"/>
      <c r="K23" s="173"/>
    </row>
  </sheetData>
  <autoFilter ref="A1:X23" xr:uid="{685D18D7-A900-427A-8DE8-DACAD82DCE53}"/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8468-E0F9-49ED-9199-431F4D74F9A6}">
  <dimension ref="A1:X21"/>
  <sheetViews>
    <sheetView topLeftCell="A4" workbookViewId="0">
      <selection activeCell="D3" sqref="D3"/>
    </sheetView>
  </sheetViews>
  <sheetFormatPr defaultRowHeight="15"/>
  <cols>
    <col min="1" max="1" width="17.7109375" style="188" customWidth="1"/>
    <col min="2" max="2" width="14.85546875" style="188" customWidth="1"/>
    <col min="3" max="3" width="5" style="179" customWidth="1"/>
    <col min="4" max="4" width="12.140625" style="188" customWidth="1"/>
    <col min="5" max="5" width="6.85546875" style="177" customWidth="1"/>
    <col min="6" max="6" width="19" style="186" customWidth="1"/>
    <col min="7" max="7" width="10.42578125" style="184" customWidth="1"/>
    <col min="8" max="8" width="13.42578125" style="182" customWidth="1"/>
    <col min="9" max="9" width="11.140625" style="177" customWidth="1"/>
    <col min="10" max="10" width="22.5703125" style="159" customWidth="1"/>
    <col min="11" max="11" width="16.42578125" style="174" customWidth="1"/>
  </cols>
  <sheetData>
    <row r="1" spans="1:24" s="190" customFormat="1" ht="47.25" customHeight="1">
      <c r="A1" s="175" t="s">
        <v>0</v>
      </c>
      <c r="B1" s="175" t="s">
        <v>1</v>
      </c>
      <c r="C1" s="178" t="s">
        <v>2</v>
      </c>
      <c r="D1" s="175" t="s">
        <v>3</v>
      </c>
      <c r="E1" s="175" t="s">
        <v>4</v>
      </c>
      <c r="F1" s="175" t="s">
        <v>5</v>
      </c>
      <c r="G1" s="180" t="s">
        <v>954</v>
      </c>
      <c r="H1" s="180" t="s">
        <v>955</v>
      </c>
      <c r="I1" s="175" t="s">
        <v>10</v>
      </c>
      <c r="J1" s="175" t="s">
        <v>12</v>
      </c>
      <c r="K1" s="175" t="s">
        <v>956</v>
      </c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</row>
    <row r="2" spans="1:24" s="154" customFormat="1" ht="89.25" customHeight="1">
      <c r="A2" s="191" t="s">
        <v>13</v>
      </c>
      <c r="B2" s="191" t="s">
        <v>1436</v>
      </c>
      <c r="C2" s="163">
        <v>205</v>
      </c>
      <c r="D2" s="191" t="s">
        <v>1666</v>
      </c>
      <c r="E2" s="191">
        <v>1</v>
      </c>
      <c r="F2" s="195" t="s">
        <v>1661</v>
      </c>
      <c r="G2" s="192">
        <v>1500</v>
      </c>
      <c r="H2" s="192">
        <v>1500</v>
      </c>
      <c r="I2" s="193">
        <v>46191</v>
      </c>
      <c r="J2" s="163" t="s">
        <v>1635</v>
      </c>
      <c r="K2" s="194"/>
    </row>
    <row r="3" spans="1:24" s="154" customFormat="1" ht="89.25" customHeight="1">
      <c r="A3" s="191" t="s">
        <v>13</v>
      </c>
      <c r="B3" s="191" t="s">
        <v>1659</v>
      </c>
      <c r="C3" s="163">
        <v>207</v>
      </c>
      <c r="D3" s="191" t="s">
        <v>1667</v>
      </c>
      <c r="E3" s="191">
        <v>1</v>
      </c>
      <c r="F3" s="195" t="s">
        <v>1657</v>
      </c>
      <c r="G3" s="192">
        <v>1500</v>
      </c>
      <c r="H3" s="192">
        <v>1500</v>
      </c>
      <c r="I3" s="193">
        <v>46189</v>
      </c>
      <c r="J3" s="163" t="s">
        <v>1635</v>
      </c>
      <c r="K3" s="194"/>
    </row>
    <row r="4" spans="1:24" s="154" customFormat="1" ht="89.25" customHeight="1">
      <c r="A4" s="191" t="s">
        <v>13</v>
      </c>
      <c r="B4" s="191" t="s">
        <v>1668</v>
      </c>
      <c r="C4" s="163">
        <v>212</v>
      </c>
      <c r="D4" s="191" t="s">
        <v>1669</v>
      </c>
      <c r="E4" s="191">
        <v>1</v>
      </c>
      <c r="F4" s="191" t="s">
        <v>1656</v>
      </c>
      <c r="G4" s="192">
        <v>980</v>
      </c>
      <c r="H4" s="192">
        <v>980</v>
      </c>
      <c r="I4" s="193">
        <v>46196</v>
      </c>
      <c r="J4" s="163" t="s">
        <v>1635</v>
      </c>
      <c r="K4" s="194"/>
    </row>
    <row r="5" spans="1:24" s="154" customFormat="1" ht="89.25" customHeight="1">
      <c r="A5" s="191" t="s">
        <v>13</v>
      </c>
      <c r="B5" s="191" t="s">
        <v>1382</v>
      </c>
      <c r="C5" s="163">
        <v>211</v>
      </c>
      <c r="D5" s="191" t="s">
        <v>1670</v>
      </c>
      <c r="E5" s="191">
        <v>1</v>
      </c>
      <c r="F5" s="191" t="s">
        <v>1663</v>
      </c>
      <c r="G5" s="192">
        <v>980</v>
      </c>
      <c r="H5" s="192">
        <v>980</v>
      </c>
      <c r="I5" s="193">
        <v>46202</v>
      </c>
      <c r="J5" s="163" t="s">
        <v>1635</v>
      </c>
      <c r="K5" s="194"/>
    </row>
    <row r="6" spans="1:24" s="154" customFormat="1" ht="138.75" customHeight="1">
      <c r="A6" s="191" t="s">
        <v>13</v>
      </c>
      <c r="B6" s="191" t="s">
        <v>1664</v>
      </c>
      <c r="C6" s="163">
        <v>213</v>
      </c>
      <c r="D6" s="191" t="s">
        <v>1671</v>
      </c>
      <c r="E6" s="191">
        <v>1</v>
      </c>
      <c r="F6" s="191" t="s">
        <v>1600</v>
      </c>
      <c r="G6" s="192">
        <v>1400</v>
      </c>
      <c r="H6" s="192">
        <v>1400</v>
      </c>
      <c r="I6" s="193">
        <v>46118</v>
      </c>
      <c r="J6" s="163" t="s">
        <v>1635</v>
      </c>
      <c r="K6" s="194"/>
    </row>
    <row r="7" spans="1:24" s="154" customFormat="1" ht="138.75" customHeight="1">
      <c r="A7" s="191" t="s">
        <v>13</v>
      </c>
      <c r="B7" s="191" t="s">
        <v>1386</v>
      </c>
      <c r="C7" s="163">
        <v>205</v>
      </c>
      <c r="D7" s="191" t="s">
        <v>1666</v>
      </c>
      <c r="E7" s="191">
        <v>1</v>
      </c>
      <c r="F7" s="191" t="s">
        <v>1649</v>
      </c>
      <c r="G7" s="192">
        <v>1500</v>
      </c>
      <c r="H7" s="192">
        <v>1500</v>
      </c>
      <c r="I7" s="193">
        <v>46191</v>
      </c>
      <c r="J7" s="163" t="s">
        <v>1635</v>
      </c>
      <c r="K7" s="194"/>
    </row>
    <row r="8" spans="1:24" s="154" customFormat="1" ht="138.75" customHeight="1">
      <c r="A8" s="191" t="s">
        <v>13</v>
      </c>
      <c r="B8" s="191" t="s">
        <v>1436</v>
      </c>
      <c r="C8" s="163">
        <v>205</v>
      </c>
      <c r="D8" s="191" t="s">
        <v>1672</v>
      </c>
      <c r="E8" s="191">
        <v>1</v>
      </c>
      <c r="F8" s="191" t="s">
        <v>1595</v>
      </c>
      <c r="G8" s="192">
        <v>1400</v>
      </c>
      <c r="H8" s="192">
        <v>1400</v>
      </c>
      <c r="I8" s="193">
        <v>46114</v>
      </c>
      <c r="J8" s="163" t="s">
        <v>1635</v>
      </c>
      <c r="K8" s="194"/>
    </row>
    <row r="9" spans="1:24" s="154" customFormat="1" ht="126" customHeight="1">
      <c r="A9" s="191" t="s">
        <v>13</v>
      </c>
      <c r="B9" s="191" t="s">
        <v>1608</v>
      </c>
      <c r="C9" s="163">
        <v>210</v>
      </c>
      <c r="D9" s="191" t="s">
        <v>1673</v>
      </c>
      <c r="E9" s="191">
        <v>1</v>
      </c>
      <c r="F9" s="191" t="s">
        <v>1598</v>
      </c>
      <c r="G9" s="192">
        <v>1300</v>
      </c>
      <c r="H9" s="192">
        <v>1300</v>
      </c>
      <c r="I9" s="193">
        <v>46111</v>
      </c>
      <c r="J9" s="163" t="s">
        <v>1635</v>
      </c>
      <c r="K9" s="194"/>
    </row>
    <row r="10" spans="1:24" s="154" customFormat="1" ht="126" customHeight="1">
      <c r="A10" s="191" t="s">
        <v>13</v>
      </c>
      <c r="B10" s="191" t="s">
        <v>1436</v>
      </c>
      <c r="C10" s="163">
        <v>205</v>
      </c>
      <c r="D10" s="191" t="s">
        <v>1674</v>
      </c>
      <c r="E10" s="191">
        <v>1</v>
      </c>
      <c r="F10" s="191" t="s">
        <v>1578</v>
      </c>
      <c r="G10" s="192">
        <v>1300</v>
      </c>
      <c r="H10" s="192">
        <v>1300</v>
      </c>
      <c r="I10" s="193">
        <v>46037</v>
      </c>
      <c r="J10" s="163" t="s">
        <v>1635</v>
      </c>
      <c r="K10" s="194"/>
    </row>
    <row r="11" spans="1:24" s="154" customFormat="1" ht="89.25" customHeight="1">
      <c r="A11" s="191" t="s">
        <v>13</v>
      </c>
      <c r="B11" s="191" t="s">
        <v>1382</v>
      </c>
      <c r="C11" s="163">
        <v>211</v>
      </c>
      <c r="D11" s="191" t="s">
        <v>1675</v>
      </c>
      <c r="E11" s="191">
        <v>2</v>
      </c>
      <c r="F11" s="191" t="s">
        <v>1557</v>
      </c>
      <c r="G11" s="192">
        <v>980</v>
      </c>
      <c r="H11" s="192">
        <v>1960</v>
      </c>
      <c r="I11" s="193">
        <v>46031</v>
      </c>
      <c r="J11" s="163" t="s">
        <v>1635</v>
      </c>
      <c r="K11" s="194"/>
    </row>
    <row r="12" spans="1:24" s="154" customFormat="1" ht="108" customHeight="1">
      <c r="A12" s="191" t="s">
        <v>13</v>
      </c>
      <c r="B12" s="191"/>
      <c r="C12" s="163">
        <v>214</v>
      </c>
      <c r="D12" s="191" t="s">
        <v>1675</v>
      </c>
      <c r="E12" s="191">
        <v>1</v>
      </c>
      <c r="F12" s="191" t="s">
        <v>1544</v>
      </c>
      <c r="G12" s="192">
        <v>1200</v>
      </c>
      <c r="H12" s="192">
        <v>1200</v>
      </c>
      <c r="I12" s="193">
        <v>46000</v>
      </c>
      <c r="J12" s="163" t="s">
        <v>1635</v>
      </c>
      <c r="K12" s="194"/>
    </row>
    <row r="13" spans="1:24" s="154" customFormat="1" ht="120.75" customHeight="1">
      <c r="A13" s="191" t="s">
        <v>13</v>
      </c>
      <c r="B13" s="191" t="s">
        <v>1402</v>
      </c>
      <c r="C13" s="163">
        <v>208</v>
      </c>
      <c r="D13" s="191" t="s">
        <v>1676</v>
      </c>
      <c r="E13" s="191">
        <v>1</v>
      </c>
      <c r="F13" s="191" t="s">
        <v>1542</v>
      </c>
      <c r="G13" s="192">
        <v>1300</v>
      </c>
      <c r="H13" s="192">
        <v>1300</v>
      </c>
      <c r="I13" s="193">
        <v>46027</v>
      </c>
      <c r="J13" s="163" t="s">
        <v>1635</v>
      </c>
      <c r="K13" s="194"/>
    </row>
    <row r="14" spans="1:24" s="154" customFormat="1" ht="97.5" customHeight="1">
      <c r="A14" s="191" t="s">
        <v>13</v>
      </c>
      <c r="B14" s="191" t="s">
        <v>1402</v>
      </c>
      <c r="C14" s="163">
        <v>209</v>
      </c>
      <c r="D14" s="191" t="s">
        <v>1676</v>
      </c>
      <c r="E14" s="191">
        <v>1</v>
      </c>
      <c r="F14" s="191" t="s">
        <v>1541</v>
      </c>
      <c r="G14" s="192">
        <v>1300</v>
      </c>
      <c r="H14" s="192">
        <v>1300</v>
      </c>
      <c r="I14" s="193">
        <v>46027</v>
      </c>
      <c r="J14" s="163" t="s">
        <v>1635</v>
      </c>
      <c r="K14" s="194"/>
    </row>
    <row r="15" spans="1:24" s="154" customFormat="1" ht="126" customHeight="1">
      <c r="A15" s="191" t="s">
        <v>13</v>
      </c>
      <c r="B15" s="191" t="s">
        <v>1652</v>
      </c>
      <c r="C15" s="163">
        <v>205</v>
      </c>
      <c r="D15" s="191" t="s">
        <v>1677</v>
      </c>
      <c r="E15" s="191">
        <v>1</v>
      </c>
      <c r="F15" s="191" t="s">
        <v>1543</v>
      </c>
      <c r="G15" s="192">
        <v>1300</v>
      </c>
      <c r="H15" s="192">
        <v>1300</v>
      </c>
      <c r="I15" s="193">
        <v>45971</v>
      </c>
      <c r="J15" s="163" t="s">
        <v>1287</v>
      </c>
      <c r="K15" s="194"/>
    </row>
    <row r="16" spans="1:24" s="154" customFormat="1" ht="104.25" customHeight="1">
      <c r="A16" s="191" t="s">
        <v>13</v>
      </c>
      <c r="B16" s="191" t="s">
        <v>1509</v>
      </c>
      <c r="C16" s="163">
        <v>205</v>
      </c>
      <c r="D16" s="191" t="s">
        <v>1678</v>
      </c>
      <c r="E16" s="191">
        <v>4</v>
      </c>
      <c r="F16" s="191" t="s">
        <v>1450</v>
      </c>
      <c r="G16" s="192">
        <v>1300</v>
      </c>
      <c r="H16" s="192">
        <v>5200</v>
      </c>
      <c r="I16" s="193">
        <v>45894</v>
      </c>
      <c r="J16" s="163" t="s">
        <v>1481</v>
      </c>
      <c r="K16" s="194"/>
    </row>
    <row r="17" spans="1:11" s="154" customFormat="1" ht="118.5" customHeight="1">
      <c r="A17" s="191" t="s">
        <v>13</v>
      </c>
      <c r="B17" s="191" t="s">
        <v>1509</v>
      </c>
      <c r="C17" s="163">
        <v>205</v>
      </c>
      <c r="D17" s="191" t="s">
        <v>1679</v>
      </c>
      <c r="E17" s="191">
        <v>1</v>
      </c>
      <c r="F17" s="191" t="s">
        <v>1411</v>
      </c>
      <c r="G17" s="192">
        <v>1300</v>
      </c>
      <c r="H17" s="192">
        <v>1300</v>
      </c>
      <c r="I17" s="193">
        <v>45890</v>
      </c>
      <c r="J17" s="163" t="s">
        <v>1482</v>
      </c>
      <c r="K17" s="194"/>
    </row>
    <row r="18" spans="1:11" s="154" customFormat="1" ht="106.5" customHeight="1">
      <c r="A18" s="191" t="s">
        <v>13</v>
      </c>
      <c r="B18" s="191" t="s">
        <v>1386</v>
      </c>
      <c r="C18" s="163">
        <v>206</v>
      </c>
      <c r="D18" s="191" t="s">
        <v>1675</v>
      </c>
      <c r="E18" s="191">
        <v>1</v>
      </c>
      <c r="F18" s="191" t="s">
        <v>1412</v>
      </c>
      <c r="G18" s="192">
        <v>1300</v>
      </c>
      <c r="H18" s="192">
        <v>1300</v>
      </c>
      <c r="I18" s="193"/>
      <c r="J18" s="163" t="s">
        <v>1635</v>
      </c>
      <c r="K18" s="194"/>
    </row>
    <row r="19" spans="1:11" s="154" customFormat="1" ht="108" customHeight="1">
      <c r="A19" s="191" t="s">
        <v>13</v>
      </c>
      <c r="B19" s="191" t="s">
        <v>1382</v>
      </c>
      <c r="C19" s="163">
        <v>211</v>
      </c>
      <c r="D19" s="191" t="s">
        <v>1680</v>
      </c>
      <c r="E19" s="191">
        <v>1</v>
      </c>
      <c r="F19" s="191" t="s">
        <v>1363</v>
      </c>
      <c r="G19" s="192">
        <v>1300</v>
      </c>
      <c r="H19" s="192">
        <v>1300</v>
      </c>
      <c r="I19" s="193">
        <v>45848</v>
      </c>
      <c r="J19" s="163" t="s">
        <v>1635</v>
      </c>
      <c r="K19" s="194"/>
    </row>
    <row r="20" spans="1:11" s="154" customFormat="1" ht="132" customHeight="1">
      <c r="A20" s="191" t="s">
        <v>13</v>
      </c>
      <c r="B20" s="191" t="s">
        <v>1436</v>
      </c>
      <c r="C20" s="163">
        <v>205</v>
      </c>
      <c r="D20" s="191" t="s">
        <v>1662</v>
      </c>
      <c r="E20" s="191">
        <v>3</v>
      </c>
      <c r="F20" s="191" t="s">
        <v>1411</v>
      </c>
      <c r="G20" s="192">
        <v>1300</v>
      </c>
      <c r="H20" s="192">
        <v>3900</v>
      </c>
      <c r="I20" s="193">
        <v>45839</v>
      </c>
      <c r="J20" s="163" t="s">
        <v>1635</v>
      </c>
      <c r="K20" s="194"/>
    </row>
    <row r="21" spans="1:11">
      <c r="A21" s="187"/>
      <c r="B21" s="187"/>
      <c r="D21" s="187"/>
      <c r="E21" s="176"/>
      <c r="F21" s="185"/>
      <c r="G21" s="183"/>
      <c r="H21" s="181">
        <f>SUM(H2:H20)</f>
        <v>31920</v>
      </c>
      <c r="I21" s="176"/>
      <c r="J21" s="179"/>
      <c r="K21" s="173"/>
    </row>
  </sheetData>
  <autoFilter ref="A1:X21" xr:uid="{685D18D7-A900-427A-8DE8-DACAD82DCE53}"/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18D7-A900-427A-8DE8-DACAD82DCE53}">
  <sheetPr codeName="Planilha11"/>
  <dimension ref="A1:X19"/>
  <sheetViews>
    <sheetView tabSelected="1" workbookViewId="0">
      <selection activeCell="O4" sqref="O4"/>
    </sheetView>
  </sheetViews>
  <sheetFormatPr defaultRowHeight="15"/>
  <cols>
    <col min="1" max="1" width="17.7109375" style="188" customWidth="1"/>
    <col min="2" max="2" width="14.85546875" style="188" customWidth="1"/>
    <col min="3" max="3" width="5" style="179" customWidth="1"/>
    <col min="4" max="4" width="12.140625" style="188" customWidth="1"/>
    <col min="5" max="5" width="6.85546875" style="177" customWidth="1"/>
    <col min="6" max="6" width="19" style="186" customWidth="1"/>
    <col min="7" max="7" width="10.42578125" style="184" customWidth="1"/>
    <col min="8" max="8" width="13.42578125" style="182" customWidth="1"/>
    <col min="9" max="9" width="11.140625" style="177" customWidth="1"/>
    <col min="10" max="10" width="22.5703125" style="159" customWidth="1"/>
    <col min="11" max="11" width="16.42578125" style="174" customWidth="1"/>
  </cols>
  <sheetData>
    <row r="1" spans="1:24" s="190" customFormat="1" ht="47.25" customHeight="1">
      <c r="A1" s="175" t="s">
        <v>0</v>
      </c>
      <c r="B1" s="175" t="s">
        <v>1</v>
      </c>
      <c r="C1" s="178" t="s">
        <v>2</v>
      </c>
      <c r="D1" s="175" t="s">
        <v>3</v>
      </c>
      <c r="E1" s="175" t="s">
        <v>4</v>
      </c>
      <c r="F1" s="175" t="s">
        <v>5</v>
      </c>
      <c r="G1" s="180" t="s">
        <v>954</v>
      </c>
      <c r="H1" s="180" t="s">
        <v>955</v>
      </c>
      <c r="I1" s="175" t="s">
        <v>10</v>
      </c>
      <c r="J1" s="175" t="s">
        <v>12</v>
      </c>
      <c r="K1" s="175" t="s">
        <v>956</v>
      </c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</row>
    <row r="2" spans="1:24" s="1" customFormat="1" ht="89.25" customHeight="1">
      <c r="A2" s="127" t="s">
        <v>13</v>
      </c>
      <c r="B2" s="127" t="s">
        <v>1436</v>
      </c>
      <c r="C2" s="59">
        <v>205</v>
      </c>
      <c r="D2" s="127" t="s">
        <v>1681</v>
      </c>
      <c r="E2" s="127">
        <v>1</v>
      </c>
      <c r="F2" s="196" t="s">
        <v>1661</v>
      </c>
      <c r="G2" s="197">
        <v>1500</v>
      </c>
      <c r="H2" s="197">
        <v>1500</v>
      </c>
      <c r="I2" s="198">
        <v>46191</v>
      </c>
      <c r="J2" s="59" t="s">
        <v>1635</v>
      </c>
      <c r="K2" s="199"/>
    </row>
    <row r="3" spans="1:24" s="1" customFormat="1" ht="89.25" customHeight="1">
      <c r="A3" s="127" t="s">
        <v>13</v>
      </c>
      <c r="B3" s="127" t="s">
        <v>1659</v>
      </c>
      <c r="C3" s="59">
        <v>207</v>
      </c>
      <c r="D3" s="127" t="s">
        <v>1682</v>
      </c>
      <c r="E3" s="127">
        <v>1</v>
      </c>
      <c r="F3" s="196" t="s">
        <v>1657</v>
      </c>
      <c r="G3" s="197">
        <v>1500</v>
      </c>
      <c r="H3" s="197">
        <v>1500</v>
      </c>
      <c r="I3" s="198">
        <v>46189</v>
      </c>
      <c r="J3" s="59" t="s">
        <v>1635</v>
      </c>
      <c r="K3" s="199"/>
    </row>
    <row r="4" spans="1:24" s="1" customFormat="1" ht="89.25" customHeight="1">
      <c r="A4" s="127" t="s">
        <v>13</v>
      </c>
      <c r="B4" s="127" t="s">
        <v>1668</v>
      </c>
      <c r="C4" s="59">
        <v>212</v>
      </c>
      <c r="D4" s="127" t="s">
        <v>1683</v>
      </c>
      <c r="E4" s="127">
        <v>1</v>
      </c>
      <c r="F4" s="127" t="s">
        <v>1656</v>
      </c>
      <c r="G4" s="197">
        <v>980</v>
      </c>
      <c r="H4" s="197">
        <v>980</v>
      </c>
      <c r="I4" s="198">
        <v>46196</v>
      </c>
      <c r="J4" s="59" t="s">
        <v>1635</v>
      </c>
      <c r="K4" s="199"/>
    </row>
    <row r="5" spans="1:24" s="1" customFormat="1" ht="89.25" customHeight="1">
      <c r="A5" s="127" t="s">
        <v>13</v>
      </c>
      <c r="B5" s="127" t="s">
        <v>1382</v>
      </c>
      <c r="C5" s="59">
        <v>211</v>
      </c>
      <c r="D5" s="127" t="s">
        <v>1684</v>
      </c>
      <c r="E5" s="127">
        <v>1</v>
      </c>
      <c r="F5" s="127" t="s">
        <v>1663</v>
      </c>
      <c r="G5" s="197">
        <v>980</v>
      </c>
      <c r="H5" s="197">
        <v>980</v>
      </c>
      <c r="I5" s="198">
        <v>46204</v>
      </c>
      <c r="J5" s="59" t="s">
        <v>1635</v>
      </c>
      <c r="K5" s="199"/>
    </row>
    <row r="6" spans="1:24" s="1" customFormat="1" ht="138.75" customHeight="1">
      <c r="A6" s="127" t="s">
        <v>13</v>
      </c>
      <c r="B6" s="127" t="s">
        <v>1386</v>
      </c>
      <c r="C6" s="59">
        <v>205</v>
      </c>
      <c r="D6" s="127" t="s">
        <v>1681</v>
      </c>
      <c r="E6" s="127">
        <v>1</v>
      </c>
      <c r="F6" s="127" t="s">
        <v>1649</v>
      </c>
      <c r="G6" s="197">
        <v>1500</v>
      </c>
      <c r="H6" s="197">
        <v>1500</v>
      </c>
      <c r="I6" s="198">
        <v>46191</v>
      </c>
      <c r="J6" s="59" t="s">
        <v>1635</v>
      </c>
      <c r="K6" s="199"/>
    </row>
    <row r="7" spans="1:24" s="1" customFormat="1" ht="138.75" customHeight="1">
      <c r="A7" s="127" t="s">
        <v>13</v>
      </c>
      <c r="B7" s="127" t="s">
        <v>1436</v>
      </c>
      <c r="C7" s="59">
        <v>205</v>
      </c>
      <c r="D7" s="127" t="s">
        <v>1685</v>
      </c>
      <c r="E7" s="127">
        <v>1</v>
      </c>
      <c r="F7" s="127" t="s">
        <v>1595</v>
      </c>
      <c r="G7" s="197">
        <v>1400</v>
      </c>
      <c r="H7" s="197">
        <v>1400</v>
      </c>
      <c r="I7" s="198">
        <v>46114</v>
      </c>
      <c r="J7" s="59" t="s">
        <v>1635</v>
      </c>
      <c r="K7" s="199"/>
    </row>
    <row r="8" spans="1:24" s="1" customFormat="1" ht="126" customHeight="1">
      <c r="A8" s="127" t="s">
        <v>13</v>
      </c>
      <c r="B8" s="127" t="s">
        <v>1608</v>
      </c>
      <c r="C8" s="59">
        <v>210</v>
      </c>
      <c r="D8" s="127" t="s">
        <v>1686</v>
      </c>
      <c r="E8" s="127">
        <v>1</v>
      </c>
      <c r="F8" s="127" t="s">
        <v>1598</v>
      </c>
      <c r="G8" s="197">
        <v>1300</v>
      </c>
      <c r="H8" s="197">
        <v>1300</v>
      </c>
      <c r="I8" s="198">
        <v>46111</v>
      </c>
      <c r="J8" s="59" t="s">
        <v>1635</v>
      </c>
      <c r="K8" s="199"/>
    </row>
    <row r="9" spans="1:24" s="1" customFormat="1" ht="126" customHeight="1">
      <c r="A9" s="127" t="s">
        <v>13</v>
      </c>
      <c r="B9" s="127" t="s">
        <v>1436</v>
      </c>
      <c r="C9" s="59">
        <v>205</v>
      </c>
      <c r="D9" s="127" t="s">
        <v>1687</v>
      </c>
      <c r="E9" s="127">
        <v>1</v>
      </c>
      <c r="F9" s="127" t="s">
        <v>1578</v>
      </c>
      <c r="G9" s="197">
        <v>1300</v>
      </c>
      <c r="H9" s="197">
        <v>1300</v>
      </c>
      <c r="I9" s="198">
        <v>46037</v>
      </c>
      <c r="J9" s="59" t="s">
        <v>1635</v>
      </c>
      <c r="K9" s="199"/>
    </row>
    <row r="10" spans="1:24" s="1" customFormat="1" ht="89.25" customHeight="1">
      <c r="A10" s="127" t="s">
        <v>13</v>
      </c>
      <c r="B10" s="127" t="s">
        <v>1382</v>
      </c>
      <c r="C10" s="59">
        <v>211</v>
      </c>
      <c r="D10" s="127" t="s">
        <v>1688</v>
      </c>
      <c r="E10" s="127">
        <v>2</v>
      </c>
      <c r="F10" s="127" t="s">
        <v>1557</v>
      </c>
      <c r="G10" s="197">
        <v>980</v>
      </c>
      <c r="H10" s="197">
        <v>1960</v>
      </c>
      <c r="I10" s="198">
        <v>46031</v>
      </c>
      <c r="J10" s="59" t="s">
        <v>1635</v>
      </c>
      <c r="K10" s="199"/>
    </row>
    <row r="11" spans="1:24" s="1" customFormat="1" ht="108" customHeight="1">
      <c r="A11" s="127" t="s">
        <v>13</v>
      </c>
      <c r="B11" s="127"/>
      <c r="C11" s="59">
        <v>214</v>
      </c>
      <c r="D11" s="127" t="s">
        <v>1688</v>
      </c>
      <c r="E11" s="127">
        <v>1</v>
      </c>
      <c r="F11" s="127" t="s">
        <v>1544</v>
      </c>
      <c r="G11" s="197">
        <v>1200</v>
      </c>
      <c r="H11" s="197">
        <v>1200</v>
      </c>
      <c r="I11" s="198">
        <v>46000</v>
      </c>
      <c r="J11" s="59" t="s">
        <v>1635</v>
      </c>
      <c r="K11" s="199"/>
    </row>
    <row r="12" spans="1:24" s="1" customFormat="1" ht="120.75" customHeight="1">
      <c r="A12" s="127" t="s">
        <v>13</v>
      </c>
      <c r="B12" s="127" t="s">
        <v>1402</v>
      </c>
      <c r="C12" s="59">
        <v>208</v>
      </c>
      <c r="D12" s="127" t="s">
        <v>1689</v>
      </c>
      <c r="E12" s="127">
        <v>1</v>
      </c>
      <c r="F12" s="127" t="s">
        <v>1542</v>
      </c>
      <c r="G12" s="197">
        <v>1300</v>
      </c>
      <c r="H12" s="197">
        <v>1300</v>
      </c>
      <c r="I12" s="198">
        <v>46027</v>
      </c>
      <c r="J12" s="59" t="s">
        <v>1635</v>
      </c>
      <c r="K12" s="199"/>
    </row>
    <row r="13" spans="1:24" s="1" customFormat="1" ht="97.5" customHeight="1">
      <c r="A13" s="127" t="s">
        <v>13</v>
      </c>
      <c r="B13" s="127" t="s">
        <v>1402</v>
      </c>
      <c r="C13" s="59">
        <v>209</v>
      </c>
      <c r="D13" s="127" t="s">
        <v>1689</v>
      </c>
      <c r="E13" s="127">
        <v>1</v>
      </c>
      <c r="F13" s="127" t="s">
        <v>1541</v>
      </c>
      <c r="G13" s="197">
        <v>1300</v>
      </c>
      <c r="H13" s="197">
        <v>1300</v>
      </c>
      <c r="I13" s="198">
        <v>46027</v>
      </c>
      <c r="J13" s="59" t="s">
        <v>1635</v>
      </c>
      <c r="K13" s="199"/>
    </row>
    <row r="14" spans="1:24" s="1" customFormat="1" ht="104.25" customHeight="1">
      <c r="A14" s="127" t="s">
        <v>13</v>
      </c>
      <c r="B14" s="127" t="s">
        <v>1509</v>
      </c>
      <c r="C14" s="59">
        <v>205</v>
      </c>
      <c r="D14" s="127" t="s">
        <v>1690</v>
      </c>
      <c r="E14" s="127">
        <v>4</v>
      </c>
      <c r="F14" s="127" t="s">
        <v>1450</v>
      </c>
      <c r="G14" s="197">
        <v>1300</v>
      </c>
      <c r="H14" s="197">
        <v>5200</v>
      </c>
      <c r="I14" s="198">
        <v>45894</v>
      </c>
      <c r="J14" s="59" t="s">
        <v>1481</v>
      </c>
      <c r="K14" s="199"/>
    </row>
    <row r="15" spans="1:24" s="1" customFormat="1" ht="118.5" customHeight="1">
      <c r="A15" s="127" t="s">
        <v>13</v>
      </c>
      <c r="B15" s="127" t="s">
        <v>1509</v>
      </c>
      <c r="C15" s="59">
        <v>205</v>
      </c>
      <c r="D15" s="127" t="s">
        <v>1691</v>
      </c>
      <c r="E15" s="127">
        <v>1</v>
      </c>
      <c r="F15" s="127" t="s">
        <v>1411</v>
      </c>
      <c r="G15" s="197">
        <v>1300</v>
      </c>
      <c r="H15" s="197">
        <v>1300</v>
      </c>
      <c r="I15" s="198">
        <v>45890</v>
      </c>
      <c r="J15" s="59" t="s">
        <v>1482</v>
      </c>
      <c r="K15" s="199"/>
    </row>
    <row r="16" spans="1:24" s="1" customFormat="1" ht="106.5" customHeight="1">
      <c r="A16" s="127" t="s">
        <v>13</v>
      </c>
      <c r="B16" s="127" t="s">
        <v>1386</v>
      </c>
      <c r="C16" s="59">
        <v>206</v>
      </c>
      <c r="D16" s="127" t="s">
        <v>1688</v>
      </c>
      <c r="E16" s="127">
        <v>1</v>
      </c>
      <c r="F16" s="127" t="s">
        <v>1412</v>
      </c>
      <c r="G16" s="197">
        <v>1300</v>
      </c>
      <c r="H16" s="197">
        <v>1300</v>
      </c>
      <c r="I16" s="198"/>
      <c r="J16" s="59" t="s">
        <v>1635</v>
      </c>
      <c r="K16" s="199"/>
    </row>
    <row r="17" spans="1:11" s="1" customFormat="1" ht="108" customHeight="1">
      <c r="A17" s="127" t="s">
        <v>13</v>
      </c>
      <c r="B17" s="127" t="s">
        <v>1382</v>
      </c>
      <c r="C17" s="59">
        <v>211</v>
      </c>
      <c r="D17" s="127" t="s">
        <v>1692</v>
      </c>
      <c r="E17" s="127">
        <v>1</v>
      </c>
      <c r="F17" s="127" t="s">
        <v>1363</v>
      </c>
      <c r="G17" s="197">
        <v>1300</v>
      </c>
      <c r="H17" s="197">
        <v>1300</v>
      </c>
      <c r="I17" s="198">
        <v>45848</v>
      </c>
      <c r="J17" s="59" t="s">
        <v>1635</v>
      </c>
      <c r="K17" s="199"/>
    </row>
    <row r="18" spans="1:11" s="1" customFormat="1" ht="132" customHeight="1">
      <c r="A18" s="127" t="s">
        <v>13</v>
      </c>
      <c r="B18" s="127" t="s">
        <v>1436</v>
      </c>
      <c r="C18" s="59">
        <v>205</v>
      </c>
      <c r="D18" s="127" t="s">
        <v>1670</v>
      </c>
      <c r="E18" s="127">
        <v>3</v>
      </c>
      <c r="F18" s="127" t="s">
        <v>1411</v>
      </c>
      <c r="G18" s="197">
        <v>1300</v>
      </c>
      <c r="H18" s="197">
        <v>3900</v>
      </c>
      <c r="I18" s="198">
        <v>45839</v>
      </c>
      <c r="J18" s="59" t="s">
        <v>1635</v>
      </c>
      <c r="K18" s="199"/>
    </row>
    <row r="19" spans="1:11">
      <c r="A19" s="187"/>
      <c r="B19" s="187"/>
      <c r="D19" s="187"/>
      <c r="E19" s="176"/>
      <c r="F19" s="185"/>
      <c r="G19" s="183"/>
      <c r="H19" s="181">
        <f>SUM(H2:H18)</f>
        <v>29220</v>
      </c>
      <c r="I19" s="176"/>
      <c r="J19" s="179"/>
      <c r="K19" s="173"/>
    </row>
  </sheetData>
  <autoFilter ref="A1:X19" xr:uid="{685D18D7-A900-427A-8DE8-DACAD82DCE53}"/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1C1C-3862-44B2-8F4A-F8A04D30EA3A}">
  <sheetPr codeName="Planilha12"/>
  <dimension ref="A1:H25"/>
  <sheetViews>
    <sheetView workbookViewId="0">
      <selection activeCell="E4" sqref="E4"/>
    </sheetView>
  </sheetViews>
  <sheetFormatPr defaultColWidth="9" defaultRowHeight="15"/>
  <cols>
    <col min="1" max="1" width="20.140625" customWidth="1"/>
    <col min="2" max="2" width="15" customWidth="1"/>
    <col min="3" max="3" width="23.28515625" customWidth="1"/>
    <col min="4" max="4" width="17" style="131" customWidth="1"/>
    <col min="5" max="5" width="17" customWidth="1"/>
    <col min="6" max="6" width="28.140625" style="131" customWidth="1"/>
    <col min="7" max="7" width="49.140625" customWidth="1"/>
    <col min="8" max="8" width="9" style="1"/>
  </cols>
  <sheetData>
    <row r="1" spans="1:7" ht="47.25" customHeight="1">
      <c r="A1" s="135" t="s">
        <v>0</v>
      </c>
      <c r="B1" s="136" t="s">
        <v>4</v>
      </c>
      <c r="C1" s="136" t="s">
        <v>5</v>
      </c>
      <c r="D1" s="136" t="s">
        <v>1359</v>
      </c>
      <c r="E1" s="136" t="s">
        <v>1362</v>
      </c>
      <c r="F1" s="137" t="s">
        <v>1360</v>
      </c>
      <c r="G1" s="136" t="s">
        <v>1</v>
      </c>
    </row>
    <row r="2" spans="1:7" s="1" customFormat="1" ht="44.25" customHeight="1">
      <c r="A2" s="59" t="s">
        <v>1366</v>
      </c>
      <c r="B2" s="59">
        <v>1</v>
      </c>
      <c r="C2" s="127" t="s">
        <v>1445</v>
      </c>
      <c r="D2" s="129">
        <v>45896</v>
      </c>
      <c r="E2" s="90"/>
      <c r="F2" s="132" t="s">
        <v>1376</v>
      </c>
      <c r="G2" s="127"/>
    </row>
    <row r="3" spans="1:7" s="1" customFormat="1" ht="44.25" customHeight="1">
      <c r="A3" s="59" t="s">
        <v>1366</v>
      </c>
      <c r="B3" s="59">
        <v>4</v>
      </c>
      <c r="C3" s="138" t="s">
        <v>1443</v>
      </c>
      <c r="D3" s="129">
        <v>45894</v>
      </c>
      <c r="E3" s="90"/>
      <c r="F3" s="145" t="s">
        <v>1370</v>
      </c>
      <c r="G3" s="127"/>
    </row>
    <row r="4" spans="1:7" s="1" customFormat="1" ht="44.25" customHeight="1">
      <c r="A4" s="59" t="s">
        <v>1366</v>
      </c>
      <c r="B4" s="59">
        <v>1</v>
      </c>
      <c r="C4" s="138" t="s">
        <v>1373</v>
      </c>
      <c r="D4" s="129">
        <v>45890</v>
      </c>
      <c r="E4" s="90"/>
      <c r="F4" s="145" t="s">
        <v>1370</v>
      </c>
      <c r="G4" s="127"/>
    </row>
    <row r="5" spans="1:7" s="1" customFormat="1" ht="44.25" customHeight="1">
      <c r="A5" s="59" t="s">
        <v>1366</v>
      </c>
      <c r="B5" s="59">
        <v>1</v>
      </c>
      <c r="C5" s="138" t="s">
        <v>1422</v>
      </c>
      <c r="D5" s="129">
        <v>45881</v>
      </c>
      <c r="E5" s="90"/>
      <c r="F5" s="142" t="s">
        <v>1423</v>
      </c>
      <c r="G5" s="127"/>
    </row>
    <row r="6" spans="1:7" s="1" customFormat="1" ht="44.25" customHeight="1">
      <c r="A6" s="59" t="s">
        <v>1366</v>
      </c>
      <c r="B6" s="59">
        <v>1</v>
      </c>
      <c r="C6" s="127" t="s">
        <v>1367</v>
      </c>
      <c r="D6" s="129">
        <v>45860</v>
      </c>
      <c r="E6" s="90"/>
      <c r="F6" s="128" t="s">
        <v>1361</v>
      </c>
      <c r="G6" s="127"/>
    </row>
    <row r="7" spans="1:7" s="1" customFormat="1" ht="44.25" customHeight="1">
      <c r="A7" s="59" t="s">
        <v>1366</v>
      </c>
      <c r="B7" s="59">
        <v>1</v>
      </c>
      <c r="C7" s="127" t="s">
        <v>1439</v>
      </c>
      <c r="D7" s="129">
        <v>45847</v>
      </c>
      <c r="E7" s="90"/>
      <c r="F7" s="128" t="s">
        <v>1370</v>
      </c>
      <c r="G7" s="127"/>
    </row>
    <row r="8" spans="1:7" s="1" customFormat="1" ht="44.25" customHeight="1">
      <c r="A8" s="59" t="s">
        <v>1366</v>
      </c>
      <c r="B8" s="59">
        <v>1</v>
      </c>
      <c r="C8" s="127" t="s">
        <v>1400</v>
      </c>
      <c r="D8" s="129">
        <v>45859</v>
      </c>
      <c r="E8" s="90"/>
      <c r="F8" s="128" t="s">
        <v>1370</v>
      </c>
      <c r="G8" s="127"/>
    </row>
    <row r="9" spans="1:7" s="1" customFormat="1" ht="44.25" customHeight="1">
      <c r="A9" s="59" t="s">
        <v>1366</v>
      </c>
      <c r="B9" s="59">
        <v>1</v>
      </c>
      <c r="C9" s="127" t="s">
        <v>1371</v>
      </c>
      <c r="D9" s="129">
        <v>45853</v>
      </c>
      <c r="E9" s="90"/>
      <c r="F9" s="128" t="s">
        <v>1370</v>
      </c>
      <c r="G9" s="127"/>
    </row>
    <row r="10" spans="1:7" s="1" customFormat="1" ht="44.25" customHeight="1">
      <c r="A10" s="59" t="s">
        <v>1366</v>
      </c>
      <c r="B10" s="59">
        <v>1</v>
      </c>
      <c r="C10" s="127" t="s">
        <v>1381</v>
      </c>
      <c r="D10" s="129">
        <v>45852</v>
      </c>
      <c r="E10" s="90"/>
      <c r="F10" s="132" t="s">
        <v>1380</v>
      </c>
      <c r="G10" s="127"/>
    </row>
    <row r="11" spans="1:7" s="1" customFormat="1" ht="44.25" customHeight="1">
      <c r="A11" s="59" t="s">
        <v>1366</v>
      </c>
      <c r="B11" s="59">
        <v>1</v>
      </c>
      <c r="C11" s="127" t="s">
        <v>1377</v>
      </c>
      <c r="D11" s="129"/>
      <c r="E11" s="90"/>
      <c r="F11" s="132" t="s">
        <v>1380</v>
      </c>
      <c r="G11" s="127"/>
    </row>
    <row r="12" spans="1:7" s="1" customFormat="1" ht="44.25" customHeight="1">
      <c r="A12" s="59" t="s">
        <v>1366</v>
      </c>
      <c r="B12" s="59">
        <v>1</v>
      </c>
      <c r="C12" s="127" t="s">
        <v>1363</v>
      </c>
      <c r="D12" s="129">
        <v>45848</v>
      </c>
      <c r="E12" s="90"/>
      <c r="F12" s="128" t="s">
        <v>1361</v>
      </c>
      <c r="G12" s="127"/>
    </row>
    <row r="13" spans="1:7" s="1" customFormat="1" ht="44.25" customHeight="1">
      <c r="A13" s="59" t="s">
        <v>1366</v>
      </c>
      <c r="B13" s="59">
        <v>2</v>
      </c>
      <c r="C13" s="127" t="s">
        <v>1367</v>
      </c>
      <c r="D13" s="129"/>
      <c r="E13" s="90"/>
      <c r="F13" s="128" t="s">
        <v>1361</v>
      </c>
      <c r="G13" s="127"/>
    </row>
    <row r="14" spans="1:7" s="1" customFormat="1" ht="44.25" customHeight="1">
      <c r="A14" s="59" t="s">
        <v>1366</v>
      </c>
      <c r="B14" s="59">
        <v>1</v>
      </c>
      <c r="C14" s="127" t="s">
        <v>1368</v>
      </c>
      <c r="D14" s="129"/>
      <c r="E14" s="90"/>
      <c r="F14" s="128" t="s">
        <v>1361</v>
      </c>
      <c r="G14" s="127"/>
    </row>
    <row r="15" spans="1:7" s="1" customFormat="1" ht="44.25" customHeight="1">
      <c r="A15" s="59" t="s">
        <v>1366</v>
      </c>
      <c r="B15" s="59">
        <v>1</v>
      </c>
      <c r="C15" s="127" t="s">
        <v>1369</v>
      </c>
      <c r="D15" s="129"/>
      <c r="E15" s="90"/>
      <c r="F15" s="128" t="s">
        <v>1361</v>
      </c>
      <c r="G15" s="127"/>
    </row>
    <row r="16" spans="1:7" s="1" customFormat="1" ht="44.25" customHeight="1">
      <c r="A16" s="59" t="s">
        <v>1366</v>
      </c>
      <c r="B16" s="59">
        <v>1</v>
      </c>
      <c r="C16" s="127" t="s">
        <v>1437</v>
      </c>
      <c r="D16" s="129"/>
      <c r="E16" s="141">
        <v>45877</v>
      </c>
      <c r="F16" s="128" t="s">
        <v>1370</v>
      </c>
      <c r="G16" s="127"/>
    </row>
    <row r="17" spans="1:7" s="1" customFormat="1" ht="44.25" customHeight="1">
      <c r="A17" s="59" t="s">
        <v>1366</v>
      </c>
      <c r="B17" s="59">
        <v>3</v>
      </c>
      <c r="C17" s="127" t="s">
        <v>1372</v>
      </c>
      <c r="D17" s="129"/>
      <c r="E17" s="90"/>
      <c r="F17" s="128" t="s">
        <v>1370</v>
      </c>
      <c r="G17" s="127"/>
    </row>
    <row r="18" spans="1:7" s="1" customFormat="1" ht="44.25" customHeight="1">
      <c r="A18" s="59" t="s">
        <v>1366</v>
      </c>
      <c r="B18" s="59">
        <v>2</v>
      </c>
      <c r="C18" s="127" t="s">
        <v>1373</v>
      </c>
      <c r="D18" s="129"/>
      <c r="E18" s="90"/>
      <c r="F18" s="128" t="s">
        <v>1370</v>
      </c>
      <c r="G18" s="127"/>
    </row>
    <row r="19" spans="1:7" s="1" customFormat="1" ht="44.25" customHeight="1">
      <c r="A19" s="59" t="s">
        <v>1366</v>
      </c>
      <c r="B19" s="59">
        <v>2</v>
      </c>
      <c r="C19" s="127" t="s">
        <v>1375</v>
      </c>
      <c r="D19" s="129"/>
      <c r="E19" s="90"/>
      <c r="F19" s="128" t="s">
        <v>1374</v>
      </c>
      <c r="G19" s="127"/>
    </row>
    <row r="20" spans="1:7" s="1" customFormat="1" ht="44.25" customHeight="1">
      <c r="A20" s="59" t="s">
        <v>1366</v>
      </c>
      <c r="B20" s="59">
        <v>1</v>
      </c>
      <c r="C20" s="127" t="s">
        <v>1375</v>
      </c>
      <c r="D20" s="129"/>
      <c r="E20" s="90"/>
      <c r="F20" s="132" t="s">
        <v>1376</v>
      </c>
      <c r="G20" s="127"/>
    </row>
    <row r="21" spans="1:7" s="1" customFormat="1" ht="44.25" customHeight="1">
      <c r="A21" s="78" t="s">
        <v>1366</v>
      </c>
      <c r="B21" s="78">
        <v>2</v>
      </c>
      <c r="C21" s="56" t="s">
        <v>1378</v>
      </c>
      <c r="D21" s="133"/>
      <c r="E21" s="133">
        <v>45848</v>
      </c>
      <c r="F21" s="134" t="s">
        <v>1376</v>
      </c>
      <c r="G21" s="56"/>
    </row>
    <row r="22" spans="1:7" s="1" customFormat="1" ht="44.25" customHeight="1">
      <c r="A22" s="78" t="s">
        <v>1366</v>
      </c>
      <c r="B22" s="78">
        <v>1</v>
      </c>
      <c r="C22" s="56" t="s">
        <v>1379</v>
      </c>
      <c r="D22" s="133"/>
      <c r="E22" s="133">
        <v>45841</v>
      </c>
      <c r="F22" s="134" t="s">
        <v>1361</v>
      </c>
      <c r="G22" s="56"/>
    </row>
    <row r="23" spans="1:7" s="1" customFormat="1" ht="44.25" customHeight="1">
      <c r="A23" s="78" t="s">
        <v>1366</v>
      </c>
      <c r="B23" s="78">
        <v>1</v>
      </c>
      <c r="C23" s="122" t="s">
        <v>1324</v>
      </c>
      <c r="D23" s="133"/>
      <c r="E23" s="133">
        <v>45831</v>
      </c>
      <c r="F23" s="134" t="s">
        <v>1370</v>
      </c>
      <c r="G23" s="56"/>
    </row>
    <row r="24" spans="1:7" s="1" customFormat="1" ht="44.25" customHeight="1">
      <c r="A24" s="59" t="s">
        <v>1365</v>
      </c>
      <c r="B24" s="59">
        <v>1</v>
      </c>
      <c r="C24" s="127" t="s">
        <v>1364</v>
      </c>
      <c r="D24" s="129">
        <v>45843</v>
      </c>
      <c r="E24" s="90"/>
      <c r="F24" s="128" t="s">
        <v>1361</v>
      </c>
      <c r="G24" s="127"/>
    </row>
    <row r="25" spans="1:7">
      <c r="A25" s="8" t="s">
        <v>165</v>
      </c>
      <c r="B25" s="8">
        <f>SUM(B5:B24)</f>
        <v>26</v>
      </c>
      <c r="C25" s="10"/>
      <c r="D25" s="130"/>
      <c r="E25" s="16"/>
      <c r="F25" s="130"/>
      <c r="G25" s="10"/>
    </row>
  </sheetData>
  <autoFilter ref="A1:H25" xr:uid="{B0F81C1C-3862-44B2-8F4A-F8A04D30EA3A}"/>
  <sortState xmlns:xlrd2="http://schemas.microsoft.com/office/spreadsheetml/2017/richdata2" ref="A8:H25">
    <sortCondition ref="A1:A25"/>
  </sortState>
  <pageMargins left="0.51181102362204722" right="0.51181102362204722" top="0.78740157480314965" bottom="0.78740157480314965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43</vt:i4>
      </vt:variant>
    </vt:vector>
  </HeadingPairs>
  <TitlesOfParts>
    <vt:vector size="43" baseType="lpstr">
      <vt:lpstr>FEVEREIRO 23</vt:lpstr>
      <vt:lpstr>Sheet1</vt:lpstr>
      <vt:lpstr>MARÇO 23</vt:lpstr>
      <vt:lpstr>ABRIL 23</vt:lpstr>
      <vt:lpstr>MAIO 23</vt:lpstr>
      <vt:lpstr>JUNHO 23</vt:lpstr>
      <vt:lpstr>JULHO 23</vt:lpstr>
      <vt:lpstr>AGOSTO 23</vt:lpstr>
      <vt:lpstr>SETEMBRO 23</vt:lpstr>
      <vt:lpstr>OUTUBRO 23</vt:lpstr>
      <vt:lpstr>DEZEMBRO 23</vt:lpstr>
      <vt:lpstr>JANEIRO 2024</vt:lpstr>
      <vt:lpstr>FEVEREIRO 2024</vt:lpstr>
      <vt:lpstr>MARÇO 2024</vt:lpstr>
      <vt:lpstr>ABRIL 2024</vt:lpstr>
      <vt:lpstr>MAIO 2024</vt:lpstr>
      <vt:lpstr>JUNHO 24</vt:lpstr>
      <vt:lpstr>AGOSTO 24</vt:lpstr>
      <vt:lpstr>SETEMBRO 24</vt:lpstr>
      <vt:lpstr>OUTUBRO 24</vt:lpstr>
      <vt:lpstr>NOVEMBRO 24</vt:lpstr>
      <vt:lpstr>DEZEMBRO 24  </vt:lpstr>
      <vt:lpstr>JANEIRO 25</vt:lpstr>
      <vt:lpstr>FEVEREIRO 25</vt:lpstr>
      <vt:lpstr>MARÇO 25 </vt:lpstr>
      <vt:lpstr>ABRIL 25</vt:lpstr>
      <vt:lpstr>MAIO 25 </vt:lpstr>
      <vt:lpstr>JUNHO 25</vt:lpstr>
      <vt:lpstr>JULHO 25</vt:lpstr>
      <vt:lpstr>AGOSTO 25 (2)</vt:lpstr>
      <vt:lpstr>SETEMBRO 25</vt:lpstr>
      <vt:lpstr>OUTUBRO 25</vt:lpstr>
      <vt:lpstr>NOVEMBRO 25 (2)</vt:lpstr>
      <vt:lpstr>DEZEMBRO 25</vt:lpstr>
      <vt:lpstr>JANEIRO 26 (2)</vt:lpstr>
      <vt:lpstr>FEVEREIRO 26 (2)</vt:lpstr>
      <vt:lpstr>MARÇO 26 (2)</vt:lpstr>
      <vt:lpstr>ABRIL 26 (2)</vt:lpstr>
      <vt:lpstr>MAIO 26 (2)</vt:lpstr>
      <vt:lpstr>JUNHO 26 (2)</vt:lpstr>
      <vt:lpstr>JULHO 26 (2)</vt:lpstr>
      <vt:lpstr>AGOSTO 26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55319</dc:creator>
  <cp:lastModifiedBy>Tayna Ferraz</cp:lastModifiedBy>
  <cp:lastPrinted>2025-09-03T12:05:18Z</cp:lastPrinted>
  <dcterms:created xsi:type="dcterms:W3CDTF">2023-03-31T11:36:00Z</dcterms:created>
  <dcterms:modified xsi:type="dcterms:W3CDTF">2026-08-20T14:40:58Z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DD569053F5534649836C595DFF7E843A_12</vt:lpwstr>
  </property>
  <property fmtid="{D5CDD505-2E9C-101B-9397-08002B2CF9AE}" pid="3" name="KSOProductBuildVer">
    <vt:lpwstr>1046-12.2.0.21546</vt:lpwstr>
  </property>
</Properties>
</file>